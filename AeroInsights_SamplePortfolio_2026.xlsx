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ircraft Register" sheetId="2" state="visible" r:id="rId2"/>
    <sheet name="Lessee Profiles" sheetId="3" state="visible" r:id="rId3"/>
    <sheet name="Lease Register" sheetId="4" state="visible" r:id="rId4"/>
    <sheet name="Security Deposits+MR" sheetId="5" state="visible" r:id="rId5"/>
    <sheet name="IFRS 9 ECL" sheetId="6" state="visible" r:id="rId6"/>
    <sheet name="SICR Triggers" sheetId="7" state="visible" r:id="rId7"/>
    <sheet name="Stress Scenarios" sheetId="8" state="visible" r:id="rId8"/>
    <sheet name="Jurisdiction LG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0.0%"/>
    <numFmt numFmtId="167" formatCode="$#,##0"/>
  </numFmts>
  <fonts count="21">
    <font>
      <name val="Calibri"/>
      <family val="2"/>
      <color theme="1"/>
      <sz val="11"/>
      <scheme val="minor"/>
    </font>
    <font>
      <name val="Arial"/>
      <b val="1"/>
      <color rgb="00002147"/>
      <sz val="22"/>
    </font>
    <font>
      <name val="Arial"/>
      <color rgb="00475569"/>
      <sz val="13"/>
    </font>
    <font>
      <name val="Arial"/>
      <color rgb="000F172A"/>
      <sz val="10"/>
    </font>
    <font>
      <name val="Arial"/>
      <color rgb="00475569"/>
      <sz val="10"/>
    </font>
    <font>
      <name val="Arial"/>
      <b val="1"/>
      <color rgb="00FFFFFF"/>
      <sz val="9"/>
    </font>
    <font>
      <name val="Arial"/>
      <color rgb="000000FF"/>
      <sz val="10"/>
    </font>
    <font>
      <name val="Arial"/>
      <b val="1"/>
      <color rgb="00002147"/>
      <sz val="11"/>
    </font>
    <font>
      <name val="Arial"/>
      <i val="1"/>
      <color rgb="0094A3B8"/>
      <sz val="8"/>
    </font>
    <font>
      <name val="Arial"/>
      <b val="1"/>
      <color rgb="00002147"/>
      <sz val="9"/>
    </font>
    <font>
      <name val="Arial"/>
      <color rgb="00334155"/>
      <sz val="9"/>
    </font>
    <font>
      <name val="Arial"/>
      <b val="1"/>
      <color rgb="00FFFFFF"/>
      <sz val="11"/>
    </font>
    <font>
      <name val="Arial"/>
      <color rgb="000000FF"/>
      <sz val="9"/>
    </font>
    <font>
      <name val="Arial"/>
      <b val="1"/>
      <color rgb="00B91C1C"/>
      <sz val="9"/>
    </font>
    <font>
      <name val="Arial"/>
      <b val="1"/>
      <color rgb="0015803D"/>
      <sz val="9"/>
    </font>
    <font>
      <name val="Arial"/>
      <b val="1"/>
      <color rgb="0092400E"/>
      <sz val="9"/>
    </font>
    <font>
      <name val="Arial"/>
      <b val="1"/>
      <color rgb="00002147"/>
      <sz val="12"/>
    </font>
    <font>
      <name val="Arial"/>
      <color rgb="00B91C1C"/>
      <sz val="9"/>
    </font>
    <font>
      <name val="Arial"/>
      <color rgb="0015803D"/>
      <sz val="9"/>
    </font>
    <font>
      <name val="Arial"/>
      <color rgb="0092400E"/>
      <sz val="9"/>
    </font>
    <font>
      <name val="Arial"/>
      <b val="1"/>
      <color rgb="006D28D9"/>
      <sz val="9"/>
    </font>
  </fonts>
  <fills count="11">
    <fill>
      <patternFill/>
    </fill>
    <fill>
      <patternFill patternType="gray125"/>
    </fill>
    <fill>
      <patternFill patternType="solid">
        <fgColor rgb="00D8A44E"/>
      </patternFill>
    </fill>
    <fill>
      <patternFill patternType="solid">
        <fgColor rgb="00002147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2E8F0"/>
      </patternFill>
    </fill>
    <fill>
      <patternFill patternType="solid">
        <fgColor rgb="00F3E8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164" fontId="12" fillId="4" borderId="1" applyAlignment="1" pivotButton="0" quotePrefix="0" xfId="0">
      <alignment horizontal="center" vertical="center" wrapText="1"/>
    </xf>
    <xf numFmtId="3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4" fontId="12" fillId="5" borderId="1" applyAlignment="1" pivotButton="0" quotePrefix="0" xfId="0">
      <alignment horizontal="center" vertical="center" wrapText="1"/>
    </xf>
    <xf numFmtId="3" fontId="12" fillId="5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164" fontId="9" fillId="9" borderId="1" applyAlignment="1" pivotButton="0" quotePrefix="0" xfId="0">
      <alignment horizontal="center" vertical="center" wrapText="1"/>
    </xf>
    <xf numFmtId="3" fontId="9" fillId="9" borderId="1" applyAlignment="1" pivotButton="0" quotePrefix="0" xfId="0">
      <alignment horizontal="center" vertical="center" wrapText="1"/>
    </xf>
    <xf numFmtId="166" fontId="12" fillId="4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166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67" fontId="12" fillId="4" borderId="1" applyAlignment="1" pivotButton="0" quotePrefix="0" xfId="0">
      <alignment horizontal="center" vertical="center" wrapText="1"/>
    </xf>
    <xf numFmtId="167" fontId="12" fillId="5" borderId="1" applyAlignment="1" pivotButton="0" quotePrefix="0" xfId="0">
      <alignment horizontal="center" vertical="center" wrapText="1"/>
    </xf>
    <xf numFmtId="167" fontId="9" fillId="9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9" fillId="0" borderId="0" pivotButton="0" quotePrefix="0" xfId="0"/>
    <xf numFmtId="10" fontId="12" fillId="0" borderId="0" pivotButton="0" quotePrefix="0" xfId="0"/>
    <xf numFmtId="4" fontId="12" fillId="5" borderId="1" applyAlignment="1" pivotButton="0" quotePrefix="0" xfId="0">
      <alignment horizontal="center" vertical="center" wrapText="1"/>
    </xf>
    <xf numFmtId="4" fontId="17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4" fontId="12" fillId="4" borderId="1" applyAlignment="1" pivotButton="0" quotePrefix="0" xfId="0">
      <alignment horizontal="center" vertical="center" wrapText="1"/>
    </xf>
    <xf numFmtId="4" fontId="17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4" fontId="18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4" fontId="18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164" fontId="18" fillId="7" borderId="1" applyAlignment="1" pivotButton="0" quotePrefix="0" xfId="0">
      <alignment horizontal="center" vertical="center" wrapText="1"/>
    </xf>
    <xf numFmtId="4" fontId="18" fillId="7" borderId="1" applyAlignment="1" pivotButton="0" quotePrefix="0" xfId="0">
      <alignment horizontal="center" vertical="center" wrapText="1"/>
    </xf>
    <xf numFmtId="166" fontId="18" fillId="7" borderId="1" applyAlignment="1" pivotButton="0" quotePrefix="0" xfId="0">
      <alignment horizontal="center" vertical="center" wrapText="1"/>
    </xf>
    <xf numFmtId="164" fontId="19" fillId="8" borderId="1" applyAlignment="1" pivotButton="0" quotePrefix="0" xfId="0">
      <alignment horizontal="center" vertical="center" wrapText="1"/>
    </xf>
    <xf numFmtId="4" fontId="19" fillId="8" borderId="1" applyAlignment="1" pivotButton="0" quotePrefix="0" xfId="0">
      <alignment horizontal="center" vertical="center" wrapText="1"/>
    </xf>
    <xf numFmtId="166" fontId="19" fillId="8" borderId="1" applyAlignment="1" pivotButton="0" quotePrefix="0" xfId="0">
      <alignment horizontal="center" vertical="center" wrapText="1"/>
    </xf>
    <xf numFmtId="164" fontId="17" fillId="6" borderId="1" applyAlignment="1" pivotButton="0" quotePrefix="0" xfId="0">
      <alignment horizontal="center" vertical="center" wrapText="1"/>
    </xf>
    <xf numFmtId="4" fontId="17" fillId="6" borderId="1" applyAlignment="1" pivotButton="0" quotePrefix="0" xfId="0">
      <alignment horizontal="center" vertical="center" wrapText="1"/>
    </xf>
    <xf numFmtId="166" fontId="17" fillId="6" borderId="1" applyAlignment="1" pivotButton="0" quotePrefix="0" xfId="0">
      <alignment horizontal="center" vertical="center" wrapText="1"/>
    </xf>
    <xf numFmtId="0" fontId="12" fillId="0" borderId="0" pivotButton="0" quotePrefix="0" xfId="0"/>
    <xf numFmtId="4" fontId="13" fillId="5" borderId="1" applyAlignment="1" pivotButton="0" quotePrefix="0" xfId="0">
      <alignment horizontal="center" vertical="center" wrapText="1"/>
    </xf>
    <xf numFmtId="4" fontId="13" fillId="4" borderId="1" applyAlignment="1" pivotButton="0" quotePrefix="0" xfId="0">
      <alignment horizontal="center" vertical="center" wrapText="1"/>
    </xf>
    <xf numFmtId="164" fontId="13" fillId="4" borderId="1" applyAlignment="1" pivotButton="0" quotePrefix="0" xfId="0">
      <alignment horizontal="center" vertical="center" wrapText="1"/>
    </xf>
    <xf numFmtId="164" fontId="13" fillId="5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14" customHeight="1"/>
    <row r="2" ht="40" customHeight="1">
      <c r="B2" s="1" t="inlineStr">
        <is>
          <t>AeroInsights</t>
        </is>
      </c>
    </row>
    <row r="3" ht="22" customHeight="1">
      <c r="B3" s="2" t="inlineStr">
        <is>
          <t>Sample Portfolio — Full Data Pack</t>
        </is>
      </c>
    </row>
    <row r="4" ht="18" customHeight="1">
      <c r="B4" s="3" t="inlineStr">
        <is>
          <t>Lessor:  Aer Capital Partners Ltd.</t>
        </is>
      </c>
    </row>
    <row r="5" ht="18" customHeight="1">
      <c r="B5" s="4" t="inlineStr">
        <is>
          <t>Reporting Date:  31 May 2026  |  Currency: USD</t>
        </is>
      </c>
    </row>
    <row r="6" ht="30" customHeight="1">
      <c r="B6" s="5" t="n"/>
      <c r="C6" s="5" t="n"/>
      <c r="D6" s="5" t="n"/>
      <c r="E6" s="5" t="n"/>
      <c r="F6" s="5" t="n"/>
    </row>
    <row r="7" ht="14" customHeight="1"/>
    <row r="8" ht="26" customHeight="1">
      <c r="A8" s="6" t="inlineStr"/>
      <c r="B8" s="6" t="inlineStr">
        <is>
          <t>Aircraft</t>
        </is>
      </c>
      <c r="C8" s="6" t="inlineStr">
        <is>
          <t>Lessees</t>
        </is>
      </c>
      <c r="D8" s="6" t="inlineStr">
        <is>
          <t>Total EAD ($M)</t>
        </is>
      </c>
      <c r="E8" s="6" t="inlineStr">
        <is>
          <t>Total ECL ($M)</t>
        </is>
      </c>
      <c r="F8" s="6" t="inlineStr">
        <is>
          <t>Avg Stage</t>
        </is>
      </c>
    </row>
    <row r="9" ht="22" customHeight="1">
      <c r="A9" s="7" t="inlineStr">
        <is>
          <t>Portfolio Totals</t>
        </is>
      </c>
      <c r="B9" s="7" t="n">
        <v>10</v>
      </c>
      <c r="C9" s="7" t="n">
        <v>10</v>
      </c>
      <c r="D9" s="8" t="n">
        <v>490.9</v>
      </c>
      <c r="E9" s="8" t="n">
        <v>16.96</v>
      </c>
      <c r="F9" s="9" t="n">
        <v>2.1</v>
      </c>
    </row>
    <row r="11" ht="18" customHeight="1">
      <c r="B11" s="10" t="inlineStr">
        <is>
          <t>Stage Distribution</t>
        </is>
      </c>
    </row>
    <row r="12" ht="22" customHeight="1">
      <c r="A12" s="6" t="inlineStr"/>
      <c r="B12" s="6" t="inlineStr">
        <is>
          <t>Stage 1 — Normal</t>
        </is>
      </c>
      <c r="C12" s="6" t="inlineStr">
        <is>
          <t>Stage 2 — Watch</t>
        </is>
      </c>
      <c r="D12" s="6" t="inlineStr">
        <is>
          <t>Stage 3 — Default</t>
        </is>
      </c>
    </row>
    <row r="13" ht="20" customHeight="1">
      <c r="A13" s="11" t="inlineStr">
        <is>
          <t>Aircraft count</t>
        </is>
      </c>
      <c r="B13" s="12" t="n">
        <v>5</v>
      </c>
      <c r="C13" s="12" t="n">
        <v>3</v>
      </c>
      <c r="D13" s="12" t="n">
        <v>2</v>
      </c>
    </row>
    <row r="14" ht="20" customHeight="1">
      <c r="A14" s="11" t="inlineStr">
        <is>
          <t>ECL ($M)</t>
        </is>
      </c>
      <c r="B14" s="13" t="n">
        <v>3.46</v>
      </c>
      <c r="C14" s="13" t="n">
        <v>5.5</v>
      </c>
      <c r="D14" s="13" t="n">
        <v>8</v>
      </c>
    </row>
    <row r="15" ht="20" customHeight="1">
      <c r="A15" s="11" t="inlineStr">
        <is>
          <t>EAD ($M)</t>
        </is>
      </c>
      <c r="B15" s="13" t="n">
        <v>337.3</v>
      </c>
      <c r="C15" s="13" t="n">
        <v>97.3</v>
      </c>
      <c r="D15" s="13" t="n">
        <v>56.3</v>
      </c>
    </row>
    <row r="17" ht="16" customHeight="1">
      <c r="B17" s="14" t="inlineStr">
        <is>
          <t>Source: AeroInsights platform mock portfolio data — aeroinsights.vercel.app | Reporting date: 31 May 2026</t>
        </is>
      </c>
    </row>
    <row r="19" ht="18" customHeight="1">
      <c r="B19" s="10" t="inlineStr">
        <is>
          <t>Workbook Contents</t>
        </is>
      </c>
    </row>
    <row r="20" ht="22" customHeight="1">
      <c r="A20" s="6" t="inlineStr">
        <is>
          <t>Tab</t>
        </is>
      </c>
      <c r="B20" s="6" t="inlineStr">
        <is>
          <t>Contents</t>
        </is>
      </c>
      <c r="C20" s="15" t="n"/>
      <c r="D20" s="15" t="n"/>
      <c r="E20" s="15" t="n"/>
      <c r="F20" s="16" t="n"/>
    </row>
    <row r="21" ht="18" customHeight="1">
      <c r="A21" s="17" t="inlineStr">
        <is>
          <t>Aircraft Register</t>
        </is>
      </c>
      <c r="B21" s="18" t="inlineStr">
        <is>
          <t>10-aircraft fleet with type, MSN, registration, vintage, operator, MV, EAD</t>
        </is>
      </c>
    </row>
    <row r="22" ht="18" customHeight="1">
      <c r="A22" s="19" t="inlineStr">
        <is>
          <t>Lessee Profiles</t>
        </is>
      </c>
      <c r="B22" s="20" t="inlineStr">
        <is>
          <t>10 lessees — credit rating, PD estimate, watchlist status, SICR data, behaviour scores</t>
        </is>
      </c>
    </row>
    <row r="23" ht="18" customHeight="1">
      <c r="A23" s="17" t="inlineStr">
        <is>
          <t>Lease Register</t>
        </is>
      </c>
      <c r="B23" s="18" t="inlineStr">
        <is>
          <t>10 leases — terms, monthly rent, IFRS 9 stage, residual term, security deposit</t>
        </is>
      </c>
    </row>
    <row r="24" ht="18" customHeight="1">
      <c r="A24" s="19" t="inlineStr">
        <is>
          <t>Security Deposits+MR</t>
        </is>
      </c>
      <c r="B24" s="20" t="inlineStr">
        <is>
          <t>Cash deposits, LC amounts, maintenance reserve balances by component</t>
        </is>
      </c>
    </row>
    <row r="25" ht="18" customHeight="1">
      <c r="A25" s="17" t="inlineStr">
        <is>
          <t>IFRS 9 ECL</t>
        </is>
      </c>
      <c r="B25" s="18" t="inlineStr">
        <is>
          <t>Per-lease ECL computation — PD × LGD × EAD, 12m vs lifetime, stage summary</t>
        </is>
      </c>
    </row>
    <row r="26" ht="18" customHeight="1">
      <c r="A26" s="19" t="inlineStr">
        <is>
          <t>SICR Triggers</t>
        </is>
      </c>
      <c r="B26" s="20" t="inlineStr">
        <is>
          <t>SICR evaluation matrix — DPD, rating notches, watchlist, insolvency flags</t>
        </is>
      </c>
    </row>
    <row r="27" ht="18" customHeight="1">
      <c r="A27" s="17" t="inlineStr">
        <is>
          <t>Stress Scenarios</t>
        </is>
      </c>
      <c r="B27" s="18" t="inlineStr">
        <is>
          <t>3 macro scenario templates with full inputs and ECL output by stage</t>
        </is>
      </c>
    </row>
    <row r="28" ht="18" customHeight="1">
      <c r="A28" s="19" t="inlineStr">
        <is>
          <t>Jurisdiction LGD</t>
        </is>
      </c>
      <c r="B28" s="20" t="inlineStr">
        <is>
          <t>8 jurisdiction overlays — CTC status, P50/P90 repossession, LGD delta, precedents</t>
        </is>
      </c>
    </row>
  </sheetData>
  <mergeCells count="6">
    <mergeCell ref="B4:F4"/>
    <mergeCell ref="B2:F2"/>
    <mergeCell ref="B20:F20"/>
    <mergeCell ref="B3:F3"/>
    <mergeCell ref="B5:F5"/>
    <mergeCell ref="B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6" customWidth="1" min="4" max="4"/>
    <col width="14" customWidth="1" min="5" max="5"/>
    <col width="8" customWidth="1" min="6" max="6"/>
    <col width="8" customWidth="1" min="7" max="7"/>
    <col width="12" customWidth="1" min="8" max="8"/>
    <col width="22" customWidth="1" min="9" max="9"/>
    <col width="12" customWidth="1" min="10" max="10"/>
    <col width="8" customWidth="1" min="11" max="11"/>
    <col width="14" customWidth="1" min="12" max="12"/>
    <col width="11" customWidth="1" min="13" max="13"/>
    <col width="16" customWidth="1" min="14" max="14"/>
    <col width="17" customWidth="1" min="15" max="15"/>
    <col width="13" customWidth="1" min="16" max="16"/>
  </cols>
  <sheetData>
    <row r="1" ht="26" customHeight="1">
      <c r="A1" s="21" t="inlineStr">
        <is>
          <t>AIRCRAFT REGISTER — Aer Capital Partners Ltd.  |  Reporting: 31 May 2026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6" t="n"/>
    </row>
    <row r="2" ht="28" customHeight="1">
      <c r="A2" s="6" t="inlineStr">
        <is>
          <t>AC ID</t>
        </is>
      </c>
      <c r="B2" s="6" t="inlineStr">
        <is>
          <t>Registration</t>
        </is>
      </c>
      <c r="C2" s="6" t="inlineStr">
        <is>
          <t>MSN</t>
        </is>
      </c>
      <c r="D2" s="6" t="inlineStr">
        <is>
          <t>Type</t>
        </is>
      </c>
      <c r="E2" s="6" t="inlineStr">
        <is>
          <t>Manufacturer</t>
        </is>
      </c>
      <c r="F2" s="6" t="inlineStr">
        <is>
          <t>Vintage</t>
        </is>
      </c>
      <c r="G2" s="6" t="inlineStr">
        <is>
          <t>Age (yr)</t>
        </is>
      </c>
      <c r="H2" s="6" t="inlineStr">
        <is>
          <t>Family</t>
        </is>
      </c>
      <c r="I2" s="6" t="inlineStr">
        <is>
          <t>Operator</t>
        </is>
      </c>
      <c r="J2" s="6" t="inlineStr">
        <is>
          <t>Country</t>
        </is>
      </c>
      <c r="K2" s="6" t="inlineStr">
        <is>
          <t>Stage</t>
        </is>
      </c>
      <c r="L2" s="6" t="inlineStr">
        <is>
          <t>Current MV ($M)</t>
        </is>
      </c>
      <c r="M2" s="6" t="inlineStr">
        <is>
          <t>EAD ($M)</t>
        </is>
      </c>
      <c r="N2" s="6" t="inlineStr">
        <is>
          <t>Monthly Rent ($k)</t>
        </is>
      </c>
      <c r="O2" s="6" t="inlineStr">
        <is>
          <t>Lease Term Rem (mo)</t>
        </is>
      </c>
      <c r="P2" s="6" t="inlineStr">
        <is>
          <t>Part-Out ($M)</t>
        </is>
      </c>
    </row>
    <row r="3" ht="20" customHeight="1">
      <c r="A3" s="22" t="inlineStr">
        <is>
          <t>AC-01</t>
        </is>
      </c>
      <c r="B3" s="22" t="inlineStr">
        <is>
          <t>VT-IYC</t>
        </is>
      </c>
      <c r="C3" s="22" t="inlineStr">
        <is>
          <t>9218</t>
        </is>
      </c>
      <c r="D3" s="22" t="inlineStr">
        <is>
          <t>A320neo</t>
        </is>
      </c>
      <c r="E3" s="22" t="inlineStr">
        <is>
          <t>Airbus</t>
        </is>
      </c>
      <c r="F3" s="22" t="n">
        <v>2019</v>
      </c>
      <c r="G3" s="22" t="n">
        <v>7</v>
      </c>
      <c r="H3" s="22" t="inlineStr">
        <is>
          <t>NB</t>
        </is>
      </c>
      <c r="I3" s="23" t="inlineStr">
        <is>
          <t>IndiGo Airlines</t>
        </is>
      </c>
      <c r="J3" s="23" t="inlineStr">
        <is>
          <t>India</t>
        </is>
      </c>
      <c r="K3" s="24" t="n">
        <v>3</v>
      </c>
      <c r="L3" s="25" t="n">
        <v>36.5</v>
      </c>
      <c r="M3" s="25" t="n">
        <v>24.2</v>
      </c>
      <c r="N3" s="26" t="n">
        <v>285</v>
      </c>
      <c r="O3" s="22" t="n">
        <v>22</v>
      </c>
      <c r="P3" s="25" t="n">
        <v>18</v>
      </c>
    </row>
    <row r="4" ht="20" customHeight="1">
      <c r="A4" s="27" t="inlineStr">
        <is>
          <t>AC-02</t>
        </is>
      </c>
      <c r="B4" s="27" t="inlineStr">
        <is>
          <t>XA-AMX</t>
        </is>
      </c>
      <c r="C4" s="27" t="inlineStr">
        <is>
          <t>41234</t>
        </is>
      </c>
      <c r="D4" s="27" t="inlineStr">
        <is>
          <t>B737-800</t>
        </is>
      </c>
      <c r="E4" s="27" t="inlineStr">
        <is>
          <t>Boeing</t>
        </is>
      </c>
      <c r="F4" s="27" t="n">
        <v>2020</v>
      </c>
      <c r="G4" s="27" t="n">
        <v>6</v>
      </c>
      <c r="H4" s="27" t="inlineStr">
        <is>
          <t>NB</t>
        </is>
      </c>
      <c r="I4" s="28" t="inlineStr">
        <is>
          <t>Aeromexico</t>
        </is>
      </c>
      <c r="J4" s="28" t="inlineStr">
        <is>
          <t>Mexico</t>
        </is>
      </c>
      <c r="K4" s="24" t="n">
        <v>3</v>
      </c>
      <c r="L4" s="29" t="n">
        <v>32.1</v>
      </c>
      <c r="M4" s="29" t="n">
        <v>32.1</v>
      </c>
      <c r="N4" s="30" t="n">
        <v>310</v>
      </c>
      <c r="O4" s="27" t="n">
        <v>13</v>
      </c>
      <c r="P4" s="29" t="n">
        <v>16.5</v>
      </c>
    </row>
    <row r="5" ht="20" customHeight="1">
      <c r="A5" s="22" t="inlineStr">
        <is>
          <t>AC-03</t>
        </is>
      </c>
      <c r="B5" s="22" t="inlineStr">
        <is>
          <t>A6-ECE</t>
        </is>
      </c>
      <c r="C5" s="22" t="inlineStr">
        <is>
          <t>62047</t>
        </is>
      </c>
      <c r="D5" s="22" t="inlineStr">
        <is>
          <t>B777-300ER</t>
        </is>
      </c>
      <c r="E5" s="22" t="inlineStr">
        <is>
          <t>Boeing</t>
        </is>
      </c>
      <c r="F5" s="22" t="n">
        <v>2021</v>
      </c>
      <c r="G5" s="22" t="n">
        <v>5</v>
      </c>
      <c r="H5" s="22" t="inlineStr">
        <is>
          <t>WB</t>
        </is>
      </c>
      <c r="I5" s="23" t="inlineStr">
        <is>
          <t>Emirates</t>
        </is>
      </c>
      <c r="J5" s="23" t="inlineStr">
        <is>
          <t>UAE</t>
        </is>
      </c>
      <c r="K5" s="31" t="n">
        <v>1</v>
      </c>
      <c r="L5" s="25" t="n">
        <v>118</v>
      </c>
      <c r="M5" s="25" t="n">
        <v>88.40000000000001</v>
      </c>
      <c r="N5" s="26" t="n">
        <v>1240</v>
      </c>
      <c r="O5" s="22" t="n">
        <v>44</v>
      </c>
      <c r="P5" s="25" t="n">
        <v>55</v>
      </c>
    </row>
    <row r="6" ht="20" customHeight="1">
      <c r="A6" s="27" t="inlineStr">
        <is>
          <t>AC-04</t>
        </is>
      </c>
      <c r="B6" s="27" t="inlineStr">
        <is>
          <t>4R-ALB</t>
        </is>
      </c>
      <c r="C6" s="27" t="inlineStr">
        <is>
          <t>1728</t>
        </is>
      </c>
      <c r="D6" s="27" t="inlineStr">
        <is>
          <t>A330-300</t>
        </is>
      </c>
      <c r="E6" s="27" t="inlineStr">
        <is>
          <t>Airbus</t>
        </is>
      </c>
      <c r="F6" s="27" t="n">
        <v>2015</v>
      </c>
      <c r="G6" s="27" t="n">
        <v>11</v>
      </c>
      <c r="H6" s="27" t="inlineStr">
        <is>
          <t>WB</t>
        </is>
      </c>
      <c r="I6" s="28" t="inlineStr">
        <is>
          <t>SriLankan Airlines</t>
        </is>
      </c>
      <c r="J6" s="28" t="inlineStr">
        <is>
          <t>Sri Lanka</t>
        </is>
      </c>
      <c r="K6" s="32" t="n">
        <v>2</v>
      </c>
      <c r="L6" s="29" t="n">
        <v>48.2</v>
      </c>
      <c r="M6" s="29" t="n">
        <v>34.2</v>
      </c>
      <c r="N6" s="30" t="n">
        <v>480</v>
      </c>
      <c r="O6" s="27" t="n">
        <v>4</v>
      </c>
      <c r="P6" s="29" t="n">
        <v>22</v>
      </c>
    </row>
    <row r="7" ht="20" customHeight="1">
      <c r="A7" s="22" t="inlineStr">
        <is>
          <t>AC-05</t>
        </is>
      </c>
      <c r="B7" s="22" t="inlineStr">
        <is>
          <t>EI-HXP</t>
        </is>
      </c>
      <c r="C7" s="22" t="inlineStr">
        <is>
          <t>67892</t>
        </is>
      </c>
      <c r="D7" s="22" t="inlineStr">
        <is>
          <t>B737 MAX 8</t>
        </is>
      </c>
      <c r="E7" s="22" t="inlineStr">
        <is>
          <t>Boeing</t>
        </is>
      </c>
      <c r="F7" s="22" t="n">
        <v>2022</v>
      </c>
      <c r="G7" s="22" t="n">
        <v>4</v>
      </c>
      <c r="H7" s="22" t="inlineStr">
        <is>
          <t>NB</t>
        </is>
      </c>
      <c r="I7" s="23" t="inlineStr">
        <is>
          <t>Ryanair</t>
        </is>
      </c>
      <c r="J7" s="23" t="inlineStr">
        <is>
          <t>Ireland</t>
        </is>
      </c>
      <c r="K7" s="31" t="n">
        <v>1</v>
      </c>
      <c r="L7" s="25" t="n">
        <v>48.5</v>
      </c>
      <c r="M7" s="25" t="n">
        <v>44.7</v>
      </c>
      <c r="N7" s="26" t="n">
        <v>340</v>
      </c>
      <c r="O7" s="22" t="n">
        <v>71</v>
      </c>
      <c r="P7" s="25" t="n">
        <v>22</v>
      </c>
    </row>
    <row r="8" ht="20" customHeight="1">
      <c r="A8" s="27" t="inlineStr">
        <is>
          <t>AC-06</t>
        </is>
      </c>
      <c r="B8" s="27" t="inlineStr">
        <is>
          <t>F-HTYR</t>
        </is>
      </c>
      <c r="C8" s="27" t="inlineStr">
        <is>
          <t>0378</t>
        </is>
      </c>
      <c r="D8" s="27" t="inlineStr">
        <is>
          <t>A350-900</t>
        </is>
      </c>
      <c r="E8" s="27" t="inlineStr">
        <is>
          <t>Airbus</t>
        </is>
      </c>
      <c r="F8" s="27" t="n">
        <v>2018</v>
      </c>
      <c r="G8" s="27" t="n">
        <v>8</v>
      </c>
      <c r="H8" s="27" t="inlineStr">
        <is>
          <t>WB</t>
        </is>
      </c>
      <c r="I8" s="28" t="inlineStr">
        <is>
          <t>Air France</t>
        </is>
      </c>
      <c r="J8" s="28" t="inlineStr">
        <is>
          <t>France</t>
        </is>
      </c>
      <c r="K8" s="31" t="n">
        <v>1</v>
      </c>
      <c r="L8" s="29" t="n">
        <v>155</v>
      </c>
      <c r="M8" s="29" t="n">
        <v>68.3</v>
      </c>
      <c r="N8" s="30" t="n">
        <v>960</v>
      </c>
      <c r="O8" s="27" t="n">
        <v>26</v>
      </c>
      <c r="P8" s="29" t="n">
        <v>72</v>
      </c>
    </row>
    <row r="9" ht="20" customHeight="1">
      <c r="A9" s="22" t="inlineStr">
        <is>
          <t>AC-07</t>
        </is>
      </c>
      <c r="B9" s="22" t="inlineStr">
        <is>
          <t>PR-YRJ</t>
        </is>
      </c>
      <c r="C9" s="22" t="inlineStr">
        <is>
          <t>10442</t>
        </is>
      </c>
      <c r="D9" s="22" t="inlineStr">
        <is>
          <t>A320neo</t>
        </is>
      </c>
      <c r="E9" s="22" t="inlineStr">
        <is>
          <t>Airbus</t>
        </is>
      </c>
      <c r="F9" s="22" t="n">
        <v>2021</v>
      </c>
      <c r="G9" s="22" t="n">
        <v>5</v>
      </c>
      <c r="H9" s="22" t="inlineStr">
        <is>
          <t>NB</t>
        </is>
      </c>
      <c r="I9" s="23" t="inlineStr">
        <is>
          <t>Azul Brazilian Airlines</t>
        </is>
      </c>
      <c r="J9" s="23" t="inlineStr">
        <is>
          <t>Brazil</t>
        </is>
      </c>
      <c r="K9" s="32" t="n">
        <v>2</v>
      </c>
      <c r="L9" s="25" t="n">
        <v>41.2</v>
      </c>
      <c r="M9" s="25" t="n">
        <v>34.2</v>
      </c>
      <c r="N9" s="26" t="n">
        <v>295</v>
      </c>
      <c r="O9" s="22" t="n">
        <v>42</v>
      </c>
      <c r="P9" s="25" t="n">
        <v>20</v>
      </c>
    </row>
    <row r="10" ht="20" customHeight="1">
      <c r="A10" s="27" t="inlineStr">
        <is>
          <t>AC-08</t>
        </is>
      </c>
      <c r="B10" s="27" t="inlineStr">
        <is>
          <t>C-GTSA</t>
        </is>
      </c>
      <c r="C10" s="27" t="inlineStr">
        <is>
          <t>8841</t>
        </is>
      </c>
      <c r="D10" s="27" t="inlineStr">
        <is>
          <t>A321neo</t>
        </is>
      </c>
      <c r="E10" s="27" t="inlineStr">
        <is>
          <t>Airbus</t>
        </is>
      </c>
      <c r="F10" s="27" t="n">
        <v>2019</v>
      </c>
      <c r="G10" s="27" t="n">
        <v>7</v>
      </c>
      <c r="H10" s="27" t="inlineStr">
        <is>
          <t>NB</t>
        </is>
      </c>
      <c r="I10" s="28" t="inlineStr">
        <is>
          <t>Air Transat</t>
        </is>
      </c>
      <c r="J10" s="28" t="inlineStr">
        <is>
          <t>Canada</t>
        </is>
      </c>
      <c r="K10" s="32" t="n">
        <v>2</v>
      </c>
      <c r="L10" s="29" t="n">
        <v>50</v>
      </c>
      <c r="M10" s="29" t="n">
        <v>28.9</v>
      </c>
      <c r="N10" s="30" t="n">
        <v>275</v>
      </c>
      <c r="O10" s="27" t="n">
        <v>12</v>
      </c>
      <c r="P10" s="29" t="n">
        <v>24</v>
      </c>
    </row>
    <row r="11" ht="20" customHeight="1">
      <c r="A11" s="22" t="inlineStr">
        <is>
          <t>AC-09</t>
        </is>
      </c>
      <c r="B11" s="22" t="inlineStr">
        <is>
          <t>9V-SMB</t>
        </is>
      </c>
      <c r="C11" s="22" t="inlineStr">
        <is>
          <t>0521</t>
        </is>
      </c>
      <c r="D11" s="22" t="inlineStr">
        <is>
          <t>A350-900</t>
        </is>
      </c>
      <c r="E11" s="22" t="inlineStr">
        <is>
          <t>Airbus</t>
        </is>
      </c>
      <c r="F11" s="22" t="n">
        <v>2023</v>
      </c>
      <c r="G11" s="22" t="n">
        <v>3</v>
      </c>
      <c r="H11" s="22" t="inlineStr">
        <is>
          <t>WB</t>
        </is>
      </c>
      <c r="I11" s="23" t="inlineStr">
        <is>
          <t>Singapore Airlines</t>
        </is>
      </c>
      <c r="J11" s="23" t="inlineStr">
        <is>
          <t>Singapore</t>
        </is>
      </c>
      <c r="K11" s="31" t="n">
        <v>1</v>
      </c>
      <c r="L11" s="25" t="n">
        <v>178</v>
      </c>
      <c r="M11" s="25" t="n">
        <v>91.2</v>
      </c>
      <c r="N11" s="26" t="n">
        <v>1050</v>
      </c>
      <c r="O11" s="22" t="n">
        <v>81</v>
      </c>
      <c r="P11" s="25" t="n">
        <v>85</v>
      </c>
    </row>
    <row r="12" ht="20" customHeight="1">
      <c r="A12" s="27" t="inlineStr">
        <is>
          <t>AC-10</t>
        </is>
      </c>
      <c r="B12" s="27" t="inlineStr">
        <is>
          <t>D-AIVM</t>
        </is>
      </c>
      <c r="C12" s="27" t="inlineStr">
        <is>
          <t>55124</t>
        </is>
      </c>
      <c r="D12" s="27" t="inlineStr">
        <is>
          <t>A220-300</t>
        </is>
      </c>
      <c r="E12" s="27" t="inlineStr">
        <is>
          <t>Airbus</t>
        </is>
      </c>
      <c r="F12" s="27" t="n">
        <v>2022</v>
      </c>
      <c r="G12" s="27" t="n">
        <v>4</v>
      </c>
      <c r="H12" s="27" t="inlineStr">
        <is>
          <t>RJ</t>
        </is>
      </c>
      <c r="I12" s="28" t="inlineStr">
        <is>
          <t>Lufthansa</t>
        </is>
      </c>
      <c r="J12" s="28" t="inlineStr">
        <is>
          <t>Germany</t>
        </is>
      </c>
      <c r="K12" s="31" t="n">
        <v>1</v>
      </c>
      <c r="L12" s="29" t="n">
        <v>57.5</v>
      </c>
      <c r="M12" s="29" t="n">
        <v>44.7</v>
      </c>
      <c r="N12" s="30" t="n">
        <v>220</v>
      </c>
      <c r="O12" s="27" t="n">
        <v>75</v>
      </c>
      <c r="P12" s="29" t="n">
        <v>26</v>
      </c>
    </row>
    <row r="13" ht="22" customHeight="1">
      <c r="A13" s="33" t="inlineStr">
        <is>
          <t>TOTAL / WTD AVG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4">
        <f>SUM(L3:L12)</f>
        <v/>
      </c>
      <c r="M13" s="34">
        <f>SUM(M3:M12)</f>
        <v/>
      </c>
      <c r="N13" s="35">
        <f>SUM(N3:N12)</f>
        <v/>
      </c>
      <c r="O13" s="34">
        <f>AVERAGE(O3:O12)</f>
        <v/>
      </c>
      <c r="P13" s="33" t="n"/>
    </row>
    <row r="14">
      <c r="A14" s="14" t="inlineStr">
        <is>
          <t>Source: AeroInsights mockPortfolioData.ts + seed_demo.py | MV = heuristic half-life blend as at 30 Apr 2026 | Age = 2026 − Vintage</t>
        </is>
      </c>
    </row>
  </sheetData>
  <mergeCells count="2">
    <mergeCell ref="A1:P1"/>
    <mergeCell ref="A14:P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" customWidth="1" min="3" max="3"/>
    <col width="14" customWidth="1" min="4" max="4"/>
    <col width="14" customWidth="1" min="5" max="5"/>
    <col width="12" customWidth="1" min="6" max="6"/>
    <col width="11" customWidth="1" min="7" max="7"/>
    <col width="10" customWidth="1" min="8" max="8"/>
    <col width="7" customWidth="1" min="9" max="9"/>
    <col width="10" customWidth="1" min="10" max="10"/>
    <col width="18" customWidth="1" min="11" max="11"/>
    <col width="16" customWidth="1" min="12" max="12"/>
    <col width="14" customWidth="1" min="13" max="13"/>
    <col width="16" customWidth="1" min="14" max="14"/>
    <col width="16" customWidth="1" min="15" max="15"/>
    <col width="19" customWidth="1" min="16" max="16"/>
    <col width="15" customWidth="1" min="17" max="17"/>
    <col width="19" customWidth="1" min="18" max="18"/>
    <col width="16" customWidth="1" min="19" max="19"/>
  </cols>
  <sheetData>
    <row r="1" ht="26" customHeight="1">
      <c r="A1" s="21" t="inlineStr">
        <is>
          <t>LESSEE PROFILES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6" t="n"/>
    </row>
    <row r="2" ht="28" customHeight="1">
      <c r="A2" s="6" t="inlineStr">
        <is>
          <t>Lessee ID</t>
        </is>
      </c>
      <c r="B2" s="6" t="inlineStr">
        <is>
          <t>Name</t>
        </is>
      </c>
      <c r="C2" s="6" t="inlineStr">
        <is>
          <t>IATA</t>
        </is>
      </c>
      <c r="D2" s="6" t="inlineStr">
        <is>
          <t>Country</t>
        </is>
      </c>
      <c r="E2" s="6" t="inlineStr">
        <is>
          <t>Region</t>
        </is>
      </c>
      <c r="F2" s="6" t="inlineStr">
        <is>
          <t>Credit Rating</t>
        </is>
      </c>
      <c r="G2" s="6" t="inlineStr">
        <is>
          <t>PD Estimate</t>
        </is>
      </c>
      <c r="H2" s="6" t="inlineStr">
        <is>
          <t>Watchlist</t>
        </is>
      </c>
      <c r="I2" s="6" t="inlineStr">
        <is>
          <t>Stage</t>
        </is>
      </c>
      <c r="J2" s="6" t="inlineStr">
        <is>
          <t>DPD (days)</t>
        </is>
      </c>
      <c r="K2" s="6" t="inlineStr">
        <is>
          <t>Rating Notches Down</t>
        </is>
      </c>
      <c r="L2" s="6" t="inlineStr">
        <is>
          <t>Country Watchlist</t>
        </is>
      </c>
      <c r="M2" s="6" t="inlineStr">
        <is>
          <t>Insolvency Filed</t>
        </is>
      </c>
      <c r="N2" s="6" t="inlineStr">
        <is>
          <t>Score: Punctuality</t>
        </is>
      </c>
      <c r="O2" s="6" t="inlineStr">
        <is>
          <t>Score: Restr. Coop.</t>
        </is>
      </c>
      <c r="P2" s="6" t="inlineStr">
        <is>
          <t>Score: Govt Interference</t>
        </is>
      </c>
      <c r="Q2" s="6" t="inlineStr">
        <is>
          <t>Score: Litigation</t>
        </is>
      </c>
      <c r="R2" s="6" t="inlineStr">
        <is>
          <t>Overall Behaviour Score</t>
        </is>
      </c>
      <c r="S2" s="6" t="inlineStr">
        <is>
          <t>Pay Behaviour Tier</t>
        </is>
      </c>
    </row>
    <row r="3" ht="20" customHeight="1">
      <c r="A3" s="22" t="inlineStr">
        <is>
          <t>LSE-01</t>
        </is>
      </c>
      <c r="B3" s="23" t="inlineStr">
        <is>
          <t>IndiGo Airlines</t>
        </is>
      </c>
      <c r="C3" s="22" t="inlineStr">
        <is>
          <t>6E</t>
        </is>
      </c>
      <c r="D3" s="23" t="inlineStr">
        <is>
          <t>India</t>
        </is>
      </c>
      <c r="E3" s="23" t="inlineStr">
        <is>
          <t>Asia-Pac</t>
        </is>
      </c>
      <c r="F3" s="22" t="inlineStr">
        <is>
          <t>BB-</t>
        </is>
      </c>
      <c r="G3" s="36" t="n">
        <v>0.12</v>
      </c>
      <c r="H3" s="24" t="inlineStr">
        <is>
          <t>Red</t>
        </is>
      </c>
      <c r="I3" s="24" t="inlineStr">
        <is>
          <t>Stage 3</t>
        </is>
      </c>
      <c r="J3" s="22" t="n">
        <v>47</v>
      </c>
      <c r="K3" s="22" t="n">
        <v>1</v>
      </c>
      <c r="L3" s="37" t="inlineStr">
        <is>
          <t>Yes</t>
        </is>
      </c>
      <c r="M3" s="22" t="inlineStr">
        <is>
          <t>No</t>
        </is>
      </c>
      <c r="N3" s="22" t="n">
        <v>28</v>
      </c>
      <c r="O3" s="22" t="n">
        <v>52</v>
      </c>
      <c r="P3" s="22" t="n">
        <v>41</v>
      </c>
      <c r="Q3" s="22" t="n">
        <v>55</v>
      </c>
      <c r="R3" s="22" t="n">
        <v>44</v>
      </c>
      <c r="S3" s="24" t="inlineStr">
        <is>
          <t>Adversarial</t>
        </is>
      </c>
    </row>
    <row r="4" ht="20" customHeight="1">
      <c r="A4" s="27" t="inlineStr">
        <is>
          <t>LSE-02</t>
        </is>
      </c>
      <c r="B4" s="28" t="inlineStr">
        <is>
          <t>Aeromexico</t>
        </is>
      </c>
      <c r="C4" s="27" t="inlineStr">
        <is>
          <t>AM</t>
        </is>
      </c>
      <c r="D4" s="28" t="inlineStr">
        <is>
          <t>Mexico</t>
        </is>
      </c>
      <c r="E4" s="28" t="inlineStr">
        <is>
          <t>Americas</t>
        </is>
      </c>
      <c r="F4" s="27" t="inlineStr">
        <is>
          <t>CCC</t>
        </is>
      </c>
      <c r="G4" s="38" t="n">
        <v>0.28</v>
      </c>
      <c r="H4" s="24" t="inlineStr">
        <is>
          <t>Red</t>
        </is>
      </c>
      <c r="I4" s="24" t="inlineStr">
        <is>
          <t>Stage 3</t>
        </is>
      </c>
      <c r="J4" s="27" t="n">
        <v>89</v>
      </c>
      <c r="K4" s="27" t="n">
        <v>3</v>
      </c>
      <c r="L4" s="27" t="inlineStr">
        <is>
          <t>No</t>
        </is>
      </c>
      <c r="M4" s="39" t="inlineStr">
        <is>
          <t>Yes</t>
        </is>
      </c>
      <c r="N4" s="27" t="n">
        <v>18</v>
      </c>
      <c r="O4" s="27" t="n">
        <v>38</v>
      </c>
      <c r="P4" s="27" t="n">
        <v>35</v>
      </c>
      <c r="Q4" s="27" t="n">
        <v>25</v>
      </c>
      <c r="R4" s="27" t="n">
        <v>29</v>
      </c>
      <c r="S4" s="24" t="inlineStr">
        <is>
          <t>Adversarial</t>
        </is>
      </c>
    </row>
    <row r="5" ht="20" customHeight="1">
      <c r="A5" s="22" t="inlineStr">
        <is>
          <t>LSE-03</t>
        </is>
      </c>
      <c r="B5" s="23" t="inlineStr">
        <is>
          <t>Emirates</t>
        </is>
      </c>
      <c r="C5" s="22" t="inlineStr">
        <is>
          <t>EK</t>
        </is>
      </c>
      <c r="D5" s="23" t="inlineStr">
        <is>
          <t>UAE</t>
        </is>
      </c>
      <c r="E5" s="23" t="inlineStr">
        <is>
          <t>Middle East</t>
        </is>
      </c>
      <c r="F5" s="22" t="inlineStr">
        <is>
          <t>A-</t>
        </is>
      </c>
      <c r="G5" s="36" t="n">
        <v>0.01</v>
      </c>
      <c r="H5" s="31" t="inlineStr">
        <is>
          <t>Green</t>
        </is>
      </c>
      <c r="I5" s="31" t="inlineStr">
        <is>
          <t>Stage 1</t>
        </is>
      </c>
      <c r="J5" s="22" t="n">
        <v>0</v>
      </c>
      <c r="K5" s="22" t="n">
        <v>0</v>
      </c>
      <c r="L5" s="22" t="inlineStr">
        <is>
          <t>No</t>
        </is>
      </c>
      <c r="M5" s="22" t="inlineStr">
        <is>
          <t>No</t>
        </is>
      </c>
      <c r="N5" s="22" t="n">
        <v>98</v>
      </c>
      <c r="O5" s="22" t="n">
        <v>95</v>
      </c>
      <c r="P5" s="22" t="n">
        <v>92</v>
      </c>
      <c r="Q5" s="22" t="n">
        <v>91</v>
      </c>
      <c r="R5" s="22" t="n">
        <v>94</v>
      </c>
      <c r="S5" s="31" t="inlineStr">
        <is>
          <t>Cooperative</t>
        </is>
      </c>
    </row>
    <row r="6" ht="20" customHeight="1">
      <c r="A6" s="27" t="inlineStr">
        <is>
          <t>LSE-04</t>
        </is>
      </c>
      <c r="B6" s="28" t="inlineStr">
        <is>
          <t>SriLankan Airlines</t>
        </is>
      </c>
      <c r="C6" s="27" t="inlineStr">
        <is>
          <t>UL</t>
        </is>
      </c>
      <c r="D6" s="28" t="inlineStr">
        <is>
          <t>Sri Lanka</t>
        </is>
      </c>
      <c r="E6" s="28" t="inlineStr">
        <is>
          <t>Asia-Pac</t>
        </is>
      </c>
      <c r="F6" s="27" t="inlineStr">
        <is>
          <t>B+</t>
        </is>
      </c>
      <c r="G6" s="38" t="n">
        <v>0.08</v>
      </c>
      <c r="H6" s="32" t="inlineStr">
        <is>
          <t>Amber</t>
        </is>
      </c>
      <c r="I6" s="32" t="inlineStr">
        <is>
          <t>Stage 2</t>
        </is>
      </c>
      <c r="J6" s="27" t="n">
        <v>12</v>
      </c>
      <c r="K6" s="27" t="n">
        <v>2</v>
      </c>
      <c r="L6" s="37" t="inlineStr">
        <is>
          <t>Yes</t>
        </is>
      </c>
      <c r="M6" s="27" t="inlineStr">
        <is>
          <t>No</t>
        </is>
      </c>
      <c r="N6" s="27" t="n">
        <v>55</v>
      </c>
      <c r="O6" s="27" t="n">
        <v>70</v>
      </c>
      <c r="P6" s="27" t="n">
        <v>48</v>
      </c>
      <c r="Q6" s="27" t="n">
        <v>75</v>
      </c>
      <c r="R6" s="27" t="n">
        <v>62</v>
      </c>
      <c r="S6" s="40" t="inlineStr">
        <is>
          <t>Neutral</t>
        </is>
      </c>
    </row>
    <row r="7" ht="20" customHeight="1">
      <c r="A7" s="22" t="inlineStr">
        <is>
          <t>LSE-05</t>
        </is>
      </c>
      <c r="B7" s="23" t="inlineStr">
        <is>
          <t>Ryanair</t>
        </is>
      </c>
      <c r="C7" s="22" t="inlineStr">
        <is>
          <t>FR</t>
        </is>
      </c>
      <c r="D7" s="23" t="inlineStr">
        <is>
          <t>Ireland</t>
        </is>
      </c>
      <c r="E7" s="23" t="inlineStr">
        <is>
          <t>Europe</t>
        </is>
      </c>
      <c r="F7" s="22" t="inlineStr">
        <is>
          <t>BBB+</t>
        </is>
      </c>
      <c r="G7" s="36" t="n">
        <v>0.02</v>
      </c>
      <c r="H7" s="31" t="inlineStr">
        <is>
          <t>Green</t>
        </is>
      </c>
      <c r="I7" s="31" t="inlineStr">
        <is>
          <t>Stage 1</t>
        </is>
      </c>
      <c r="J7" s="22" t="n">
        <v>32</v>
      </c>
      <c r="K7" s="22" t="n">
        <v>0</v>
      </c>
      <c r="L7" s="22" t="inlineStr">
        <is>
          <t>No</t>
        </is>
      </c>
      <c r="M7" s="22" t="inlineStr">
        <is>
          <t>No</t>
        </is>
      </c>
      <c r="N7" s="22" t="n">
        <v>82</v>
      </c>
      <c r="O7" s="22" t="n">
        <v>91</v>
      </c>
      <c r="P7" s="22" t="n">
        <v>95</v>
      </c>
      <c r="Q7" s="22" t="n">
        <v>88</v>
      </c>
      <c r="R7" s="22" t="n">
        <v>89</v>
      </c>
      <c r="S7" s="31" t="inlineStr">
        <is>
          <t>Cooperative</t>
        </is>
      </c>
    </row>
    <row r="8" ht="20" customHeight="1">
      <c r="A8" s="27" t="inlineStr">
        <is>
          <t>LSE-06</t>
        </is>
      </c>
      <c r="B8" s="28" t="inlineStr">
        <is>
          <t>Air France</t>
        </is>
      </c>
      <c r="C8" s="27" t="inlineStr">
        <is>
          <t>AF</t>
        </is>
      </c>
      <c r="D8" s="28" t="inlineStr">
        <is>
          <t>France</t>
        </is>
      </c>
      <c r="E8" s="28" t="inlineStr">
        <is>
          <t>Europe</t>
        </is>
      </c>
      <c r="F8" s="27" t="inlineStr">
        <is>
          <t>BB+</t>
        </is>
      </c>
      <c r="G8" s="38" t="n">
        <v>0.04</v>
      </c>
      <c r="H8" s="31" t="inlineStr">
        <is>
          <t>Green</t>
        </is>
      </c>
      <c r="I8" s="31" t="inlineStr">
        <is>
          <t>Stage 1</t>
        </is>
      </c>
      <c r="J8" s="27" t="n">
        <v>0</v>
      </c>
      <c r="K8" s="27" t="n">
        <v>2</v>
      </c>
      <c r="L8" s="27" t="inlineStr">
        <is>
          <t>No</t>
        </is>
      </c>
      <c r="M8" s="27" t="inlineStr">
        <is>
          <t>No</t>
        </is>
      </c>
      <c r="N8" s="27" t="n">
        <v>71</v>
      </c>
      <c r="O8" s="27" t="n">
        <v>80</v>
      </c>
      <c r="P8" s="27" t="n">
        <v>62</v>
      </c>
      <c r="Q8" s="27" t="n">
        <v>69</v>
      </c>
      <c r="R8" s="27" t="n">
        <v>71</v>
      </c>
      <c r="S8" s="31" t="inlineStr">
        <is>
          <t>Cooperative</t>
        </is>
      </c>
    </row>
    <row r="9" ht="20" customHeight="1">
      <c r="A9" s="22" t="inlineStr">
        <is>
          <t>LSE-07</t>
        </is>
      </c>
      <c r="B9" s="23" t="inlineStr">
        <is>
          <t>Azul Brazilian Airlines</t>
        </is>
      </c>
      <c r="C9" s="22" t="inlineStr">
        <is>
          <t>AD</t>
        </is>
      </c>
      <c r="D9" s="23" t="inlineStr">
        <is>
          <t>Brazil</t>
        </is>
      </c>
      <c r="E9" s="23" t="inlineStr">
        <is>
          <t>Americas</t>
        </is>
      </c>
      <c r="F9" s="22" t="inlineStr">
        <is>
          <t>B+</t>
        </is>
      </c>
      <c r="G9" s="36" t="n">
        <v>0.09</v>
      </c>
      <c r="H9" s="32" t="inlineStr">
        <is>
          <t>Amber</t>
        </is>
      </c>
      <c r="I9" s="32" t="inlineStr">
        <is>
          <t>Stage 2</t>
        </is>
      </c>
      <c r="J9" s="22" t="n">
        <v>38</v>
      </c>
      <c r="K9" s="22" t="n">
        <v>1</v>
      </c>
      <c r="L9" s="22" t="inlineStr">
        <is>
          <t>No</t>
        </is>
      </c>
      <c r="M9" s="22" t="inlineStr">
        <is>
          <t>No</t>
        </is>
      </c>
      <c r="N9" s="22" t="n">
        <v>68</v>
      </c>
      <c r="O9" s="22" t="n">
        <v>78</v>
      </c>
      <c r="P9" s="22" t="n">
        <v>62</v>
      </c>
      <c r="Q9" s="22" t="n">
        <v>76</v>
      </c>
      <c r="R9" s="22" t="n">
        <v>71</v>
      </c>
      <c r="S9" s="31" t="inlineStr">
        <is>
          <t>Cooperative</t>
        </is>
      </c>
    </row>
    <row r="10" ht="20" customHeight="1">
      <c r="A10" s="27" t="inlineStr">
        <is>
          <t>LSE-08</t>
        </is>
      </c>
      <c r="B10" s="28" t="inlineStr">
        <is>
          <t>Air Transat</t>
        </is>
      </c>
      <c r="C10" s="27" t="inlineStr">
        <is>
          <t>TS</t>
        </is>
      </c>
      <c r="D10" s="28" t="inlineStr">
        <is>
          <t>Canada</t>
        </is>
      </c>
      <c r="E10" s="28" t="inlineStr">
        <is>
          <t>Americas</t>
        </is>
      </c>
      <c r="F10" s="27" t="inlineStr">
        <is>
          <t>B</t>
        </is>
      </c>
      <c r="G10" s="38" t="n">
        <v>0.11</v>
      </c>
      <c r="H10" s="32" t="inlineStr">
        <is>
          <t>Amber</t>
        </is>
      </c>
      <c r="I10" s="32" t="inlineStr">
        <is>
          <t>Stage 2</t>
        </is>
      </c>
      <c r="J10" s="27" t="n">
        <v>35</v>
      </c>
      <c r="K10" s="27" t="n">
        <v>0</v>
      </c>
      <c r="L10" s="27" t="inlineStr">
        <is>
          <t>No</t>
        </is>
      </c>
      <c r="M10" s="27" t="inlineStr">
        <is>
          <t>No</t>
        </is>
      </c>
      <c r="N10" s="27" t="n">
        <v>62</v>
      </c>
      <c r="O10" s="27" t="n">
        <v>75</v>
      </c>
      <c r="P10" s="27" t="n">
        <v>88</v>
      </c>
      <c r="Q10" s="27" t="n">
        <v>47</v>
      </c>
      <c r="R10" s="27" t="n">
        <v>68</v>
      </c>
      <c r="S10" s="40" t="inlineStr">
        <is>
          <t>Neutral</t>
        </is>
      </c>
    </row>
    <row r="11" ht="20" customHeight="1">
      <c r="A11" s="22" t="inlineStr">
        <is>
          <t>LSE-09</t>
        </is>
      </c>
      <c r="B11" s="23" t="inlineStr">
        <is>
          <t>Singapore Airlines</t>
        </is>
      </c>
      <c r="C11" s="22" t="inlineStr">
        <is>
          <t>SQ</t>
        </is>
      </c>
      <c r="D11" s="23" t="inlineStr">
        <is>
          <t>Singapore</t>
        </is>
      </c>
      <c r="E11" s="23" t="inlineStr">
        <is>
          <t>Asia-Pac</t>
        </is>
      </c>
      <c r="F11" s="22" t="inlineStr">
        <is>
          <t>A</t>
        </is>
      </c>
      <c r="G11" s="36" t="n">
        <v>0.01</v>
      </c>
      <c r="H11" s="31" t="inlineStr">
        <is>
          <t>Green</t>
        </is>
      </c>
      <c r="I11" s="31" t="inlineStr">
        <is>
          <t>Stage 1</t>
        </is>
      </c>
      <c r="J11" s="22" t="n">
        <v>0</v>
      </c>
      <c r="K11" s="22" t="n">
        <v>0</v>
      </c>
      <c r="L11" s="22" t="inlineStr">
        <is>
          <t>No</t>
        </is>
      </c>
      <c r="M11" s="22" t="inlineStr">
        <is>
          <t>No</t>
        </is>
      </c>
      <c r="N11" s="22" t="n">
        <v>94</v>
      </c>
      <c r="O11" s="22" t="n">
        <v>96</v>
      </c>
      <c r="P11" s="22" t="n">
        <v>92</v>
      </c>
      <c r="Q11" s="22" t="n">
        <v>90</v>
      </c>
      <c r="R11" s="22" t="n">
        <v>93</v>
      </c>
      <c r="S11" s="31" t="inlineStr">
        <is>
          <t>Cooperative</t>
        </is>
      </c>
    </row>
    <row r="12" ht="20" customHeight="1">
      <c r="A12" s="27" t="inlineStr">
        <is>
          <t>LSE-10</t>
        </is>
      </c>
      <c r="B12" s="28" t="inlineStr">
        <is>
          <t>Lufthansa</t>
        </is>
      </c>
      <c r="C12" s="27" t="inlineStr">
        <is>
          <t>LH</t>
        </is>
      </c>
      <c r="D12" s="28" t="inlineStr">
        <is>
          <t>Germany</t>
        </is>
      </c>
      <c r="E12" s="28" t="inlineStr">
        <is>
          <t>Europe</t>
        </is>
      </c>
      <c r="F12" s="27" t="inlineStr">
        <is>
          <t>BBB-</t>
        </is>
      </c>
      <c r="G12" s="38" t="n">
        <v>0.03</v>
      </c>
      <c r="H12" s="31" t="inlineStr">
        <is>
          <t>Green</t>
        </is>
      </c>
      <c r="I12" s="31" t="inlineStr">
        <is>
          <t>Stage 1</t>
        </is>
      </c>
      <c r="J12" s="27" t="n">
        <v>0</v>
      </c>
      <c r="K12" s="27" t="n">
        <v>0</v>
      </c>
      <c r="L12" s="27" t="inlineStr">
        <is>
          <t>No</t>
        </is>
      </c>
      <c r="M12" s="27" t="inlineStr">
        <is>
          <t>No</t>
        </is>
      </c>
      <c r="N12" s="27" t="n">
        <v>79</v>
      </c>
      <c r="O12" s="27" t="n">
        <v>82</v>
      </c>
      <c r="P12" s="27" t="n">
        <v>78</v>
      </c>
      <c r="Q12" s="27" t="n">
        <v>75</v>
      </c>
      <c r="R12" s="27" t="n">
        <v>79</v>
      </c>
      <c r="S12" s="31" t="inlineStr">
        <is>
          <t>Cooperative</t>
        </is>
      </c>
    </row>
    <row r="13">
      <c r="A13" s="14" t="inlineStr">
        <is>
          <t>Sources: mockPortfolioData.ts (pd_estimate, watchlist_status) | seed_demo.py (behavior_scores_json, SICR flags) | Pay Behaviour: paymentBehaviour.ts score table | DPD from mock SICR data</t>
        </is>
      </c>
    </row>
  </sheetData>
  <mergeCells count="2">
    <mergeCell ref="A13:S13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12" customWidth="1" min="5" max="5"/>
    <col width="12" customWidth="1" min="6" max="6"/>
    <col width="9" customWidth="1" min="7" max="7"/>
    <col width="14" customWidth="1" min="8" max="8"/>
    <col width="14" customWidth="1" min="9" max="9"/>
    <col width="14" customWidth="1" min="10" max="10"/>
    <col width="18" customWidth="1" min="11" max="11"/>
    <col width="9" customWidth="1" min="12" max="12"/>
    <col width="12" customWidth="1" min="13" max="13"/>
    <col width="10" customWidth="1" min="14" max="14"/>
    <col width="14" customWidth="1" min="15" max="15"/>
  </cols>
  <sheetData>
    <row r="1" ht="26" customHeight="1">
      <c r="A1" s="21" t="inlineStr">
        <is>
          <t>LEASE REGISTER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6" t="n"/>
    </row>
    <row r="2" ht="28" customHeight="1">
      <c r="A2" s="6" t="inlineStr">
        <is>
          <t>Lease ID</t>
        </is>
      </c>
      <c r="B2" s="6" t="inlineStr">
        <is>
          <t>Lessee</t>
        </is>
      </c>
      <c r="C2" s="6" t="inlineStr">
        <is>
          <t>Aircraft Reg</t>
        </is>
      </c>
      <c r="D2" s="6" t="inlineStr">
        <is>
          <t>Type</t>
        </is>
      </c>
      <c r="E2" s="6" t="inlineStr">
        <is>
          <t>Lease Start</t>
        </is>
      </c>
      <c r="F2" s="6" t="inlineStr">
        <is>
          <t>Lease End</t>
        </is>
      </c>
      <c r="G2" s="6" t="inlineStr">
        <is>
          <t>Term (mo)</t>
        </is>
      </c>
      <c r="H2" s="6" t="inlineStr">
        <is>
          <t>Remaining (mo)</t>
        </is>
      </c>
      <c r="I2" s="6" t="inlineStr">
        <is>
          <t>Monthly Rent ($)</t>
        </is>
      </c>
      <c r="J2" s="6" t="inlineStr">
        <is>
          <t>Annual Rent ($)</t>
        </is>
      </c>
      <c r="K2" s="6" t="inlineStr">
        <is>
          <t>Total Remaining ($)</t>
        </is>
      </c>
      <c r="L2" s="6" t="inlineStr">
        <is>
          <t>Currency</t>
        </is>
      </c>
      <c r="M2" s="6" t="inlineStr">
        <is>
          <t>IFRS 9 Stage</t>
        </is>
      </c>
      <c r="N2" s="6" t="inlineStr">
        <is>
          <t>Status</t>
        </is>
      </c>
      <c r="O2" s="6" t="inlineStr">
        <is>
          <t>Jurisdiction</t>
        </is>
      </c>
    </row>
    <row r="3" ht="20" customHeight="1">
      <c r="A3" s="22" t="inlineStr">
        <is>
          <t>LS-01</t>
        </is>
      </c>
      <c r="B3" s="23" t="inlineStr">
        <is>
          <t>IndiGo Airlines</t>
        </is>
      </c>
      <c r="C3" s="22" t="inlineStr">
        <is>
          <t>VT-IYC</t>
        </is>
      </c>
      <c r="D3" s="22" t="inlineStr">
        <is>
          <t>A320neo</t>
        </is>
      </c>
      <c r="E3" s="22" t="inlineStr">
        <is>
          <t>2019-03-01</t>
        </is>
      </c>
      <c r="F3" s="22" t="inlineStr">
        <is>
          <t>2028-03-01</t>
        </is>
      </c>
      <c r="G3" s="22" t="n">
        <v>108</v>
      </c>
      <c r="H3" s="22" t="n">
        <v>22</v>
      </c>
      <c r="I3" s="41" t="n">
        <v>285000</v>
      </c>
      <c r="J3" s="41" t="n">
        <v>3420000</v>
      </c>
      <c r="K3" s="41" t="n">
        <v>6270000</v>
      </c>
      <c r="L3" s="22" t="inlineStr">
        <is>
          <t>USD</t>
        </is>
      </c>
      <c r="M3" s="24" t="inlineStr">
        <is>
          <t>Stage 3</t>
        </is>
      </c>
      <c r="N3" s="22" t="inlineStr">
        <is>
          <t>Active</t>
        </is>
      </c>
      <c r="O3" s="23" t="inlineStr">
        <is>
          <t>India (IBC)</t>
        </is>
      </c>
    </row>
    <row r="4" ht="20" customHeight="1">
      <c r="A4" s="27" t="inlineStr">
        <is>
          <t>LS-02</t>
        </is>
      </c>
      <c r="B4" s="28" t="inlineStr">
        <is>
          <t>Aeromexico</t>
        </is>
      </c>
      <c r="C4" s="27" t="inlineStr">
        <is>
          <t>XA-AMX</t>
        </is>
      </c>
      <c r="D4" s="27" t="inlineStr">
        <is>
          <t>B737-800</t>
        </is>
      </c>
      <c r="E4" s="27" t="inlineStr">
        <is>
          <t>2020-06-15</t>
        </is>
      </c>
      <c r="F4" s="27" t="inlineStr">
        <is>
          <t>2027-06-15</t>
        </is>
      </c>
      <c r="G4" s="27" t="n">
        <v>84</v>
      </c>
      <c r="H4" s="27" t="n">
        <v>13</v>
      </c>
      <c r="I4" s="42" t="n">
        <v>310000</v>
      </c>
      <c r="J4" s="42" t="n">
        <v>3720000</v>
      </c>
      <c r="K4" s="42" t="n">
        <v>4030000</v>
      </c>
      <c r="L4" s="27" t="inlineStr">
        <is>
          <t>USD</t>
        </is>
      </c>
      <c r="M4" s="24" t="inlineStr">
        <is>
          <t>Stage 3</t>
        </is>
      </c>
      <c r="N4" s="27" t="inlineStr">
        <is>
          <t>Active</t>
        </is>
      </c>
      <c r="O4" s="28" t="inlineStr">
        <is>
          <t>Mexico (Concurso)</t>
        </is>
      </c>
    </row>
    <row r="5" ht="20" customHeight="1">
      <c r="A5" s="22" t="inlineStr">
        <is>
          <t>LS-03</t>
        </is>
      </c>
      <c r="B5" s="23" t="inlineStr">
        <is>
          <t>Emirates</t>
        </is>
      </c>
      <c r="C5" s="22" t="inlineStr">
        <is>
          <t>A6-ECE</t>
        </is>
      </c>
      <c r="D5" s="22" t="inlineStr">
        <is>
          <t>B777-300ER</t>
        </is>
      </c>
      <c r="E5" s="22" t="inlineStr">
        <is>
          <t>2021-01-10</t>
        </is>
      </c>
      <c r="F5" s="22" t="inlineStr">
        <is>
          <t>2030-01-10</t>
        </is>
      </c>
      <c r="G5" s="22" t="n">
        <v>108</v>
      </c>
      <c r="H5" s="22" t="n">
        <v>44</v>
      </c>
      <c r="I5" s="41" t="n">
        <v>1240000</v>
      </c>
      <c r="J5" s="41" t="n">
        <v>14880000</v>
      </c>
      <c r="K5" s="41" t="n">
        <v>54560000</v>
      </c>
      <c r="L5" s="22" t="inlineStr">
        <is>
          <t>USD</t>
        </is>
      </c>
      <c r="M5" s="31" t="inlineStr">
        <is>
          <t>Stage 1</t>
        </is>
      </c>
      <c r="N5" s="22" t="inlineStr">
        <is>
          <t>Active</t>
        </is>
      </c>
      <c r="O5" s="23" t="inlineStr">
        <is>
          <t>UAE</t>
        </is>
      </c>
    </row>
    <row r="6" ht="20" customHeight="1">
      <c r="A6" s="27" t="inlineStr">
        <is>
          <t>LS-04</t>
        </is>
      </c>
      <c r="B6" s="28" t="inlineStr">
        <is>
          <t>SriLankan Airlines</t>
        </is>
      </c>
      <c r="C6" s="27" t="inlineStr">
        <is>
          <t>4R-ALB</t>
        </is>
      </c>
      <c r="D6" s="27" t="inlineStr">
        <is>
          <t>A330-300</t>
        </is>
      </c>
      <c r="E6" s="27" t="inlineStr">
        <is>
          <t>2020-09-01</t>
        </is>
      </c>
      <c r="F6" s="27" t="inlineStr">
        <is>
          <t>2026-09-01</t>
        </is>
      </c>
      <c r="G6" s="27" t="n">
        <v>72</v>
      </c>
      <c r="H6" s="27" t="n">
        <v>4</v>
      </c>
      <c r="I6" s="42" t="n">
        <v>480000</v>
      </c>
      <c r="J6" s="42" t="n">
        <v>5760000</v>
      </c>
      <c r="K6" s="42" t="n">
        <v>1920000</v>
      </c>
      <c r="L6" s="27" t="inlineStr">
        <is>
          <t>USD</t>
        </is>
      </c>
      <c r="M6" s="32" t="inlineStr">
        <is>
          <t>Stage 2</t>
        </is>
      </c>
      <c r="N6" s="27" t="inlineStr">
        <is>
          <t>Active</t>
        </is>
      </c>
      <c r="O6" s="28" t="inlineStr">
        <is>
          <t>Sri Lanka</t>
        </is>
      </c>
    </row>
    <row r="7" ht="20" customHeight="1">
      <c r="A7" s="22" t="inlineStr">
        <is>
          <t>LS-05</t>
        </is>
      </c>
      <c r="B7" s="23" t="inlineStr">
        <is>
          <t>Ryanair</t>
        </is>
      </c>
      <c r="C7" s="22" t="inlineStr">
        <is>
          <t>EI-HXP</t>
        </is>
      </c>
      <c r="D7" s="22" t="inlineStr">
        <is>
          <t>B737 MAX 8</t>
        </is>
      </c>
      <c r="E7" s="22" t="inlineStr">
        <is>
          <t>2022-04-15</t>
        </is>
      </c>
      <c r="F7" s="22" t="inlineStr">
        <is>
          <t>2032-04-15</t>
        </is>
      </c>
      <c r="G7" s="22" t="n">
        <v>120</v>
      </c>
      <c r="H7" s="22" t="n">
        <v>71</v>
      </c>
      <c r="I7" s="41" t="n">
        <v>340000</v>
      </c>
      <c r="J7" s="41" t="n">
        <v>4080000</v>
      </c>
      <c r="K7" s="41" t="n">
        <v>24140000</v>
      </c>
      <c r="L7" s="22" t="inlineStr">
        <is>
          <t>USD</t>
        </is>
      </c>
      <c r="M7" s="31" t="inlineStr">
        <is>
          <t>Stage 1</t>
        </is>
      </c>
      <c r="N7" s="22" t="inlineStr">
        <is>
          <t>Active</t>
        </is>
      </c>
      <c r="O7" s="23" t="inlineStr">
        <is>
          <t>Ireland (CTC Gold)</t>
        </is>
      </c>
    </row>
    <row r="8" ht="20" customHeight="1">
      <c r="A8" s="27" t="inlineStr">
        <is>
          <t>LS-06</t>
        </is>
      </c>
      <c r="B8" s="28" t="inlineStr">
        <is>
          <t>Air France</t>
        </is>
      </c>
      <c r="C8" s="27" t="inlineStr">
        <is>
          <t>F-HTYR</t>
        </is>
      </c>
      <c r="D8" s="27" t="inlineStr">
        <is>
          <t>A350-900</t>
        </is>
      </c>
      <c r="E8" s="27" t="inlineStr">
        <is>
          <t>2018-07-20</t>
        </is>
      </c>
      <c r="F8" s="27" t="inlineStr">
        <is>
          <t>2028-07-20</t>
        </is>
      </c>
      <c r="G8" s="27" t="n">
        <v>120</v>
      </c>
      <c r="H8" s="27" t="n">
        <v>26</v>
      </c>
      <c r="I8" s="42" t="n">
        <v>960000</v>
      </c>
      <c r="J8" s="42" t="n">
        <v>11520000</v>
      </c>
      <c r="K8" s="42" t="n">
        <v>24960000</v>
      </c>
      <c r="L8" s="27" t="inlineStr">
        <is>
          <t>USD</t>
        </is>
      </c>
      <c r="M8" s="31" t="inlineStr">
        <is>
          <t>Stage 1</t>
        </is>
      </c>
      <c r="N8" s="27" t="inlineStr">
        <is>
          <t>Active</t>
        </is>
      </c>
      <c r="O8" s="28" t="inlineStr">
        <is>
          <t>France (CTC)</t>
        </is>
      </c>
    </row>
    <row r="9" ht="20" customHeight="1">
      <c r="A9" s="22" t="inlineStr">
        <is>
          <t>LS-07</t>
        </is>
      </c>
      <c r="B9" s="23" t="inlineStr">
        <is>
          <t>Azul Brazilian Airlines</t>
        </is>
      </c>
      <c r="C9" s="22" t="inlineStr">
        <is>
          <t>PR-YRJ</t>
        </is>
      </c>
      <c r="D9" s="22" t="inlineStr">
        <is>
          <t>A320neo</t>
        </is>
      </c>
      <c r="E9" s="22" t="inlineStr">
        <is>
          <t>2021-11-01</t>
        </is>
      </c>
      <c r="F9" s="22" t="inlineStr">
        <is>
          <t>2029-11-01</t>
        </is>
      </c>
      <c r="G9" s="22" t="n">
        <v>96</v>
      </c>
      <c r="H9" s="22" t="n">
        <v>42</v>
      </c>
      <c r="I9" s="41" t="n">
        <v>295000</v>
      </c>
      <c r="J9" s="41" t="n">
        <v>3540000</v>
      </c>
      <c r="K9" s="41" t="n">
        <v>12390000</v>
      </c>
      <c r="L9" s="22" t="inlineStr">
        <is>
          <t>USD</t>
        </is>
      </c>
      <c r="M9" s="32" t="inlineStr">
        <is>
          <t>Stage 2</t>
        </is>
      </c>
      <c r="N9" s="22" t="inlineStr">
        <is>
          <t>Active</t>
        </is>
      </c>
      <c r="O9" s="23" t="inlineStr">
        <is>
          <t>Brazil (RJ)</t>
        </is>
      </c>
    </row>
    <row r="10" ht="20" customHeight="1">
      <c r="A10" s="27" t="inlineStr">
        <is>
          <t>LS-08</t>
        </is>
      </c>
      <c r="B10" s="28" t="inlineStr">
        <is>
          <t>Air Transat</t>
        </is>
      </c>
      <c r="C10" s="27" t="inlineStr">
        <is>
          <t>C-GTSA</t>
        </is>
      </c>
      <c r="D10" s="27" t="inlineStr">
        <is>
          <t>A321neo</t>
        </is>
      </c>
      <c r="E10" s="27" t="inlineStr">
        <is>
          <t>2019-05-01</t>
        </is>
      </c>
      <c r="F10" s="27" t="inlineStr">
        <is>
          <t>2027-05-01</t>
        </is>
      </c>
      <c r="G10" s="27" t="n">
        <v>96</v>
      </c>
      <c r="H10" s="27" t="n">
        <v>12</v>
      </c>
      <c r="I10" s="42" t="n">
        <v>275000</v>
      </c>
      <c r="J10" s="42" t="n">
        <v>3300000</v>
      </c>
      <c r="K10" s="42" t="n">
        <v>3300000</v>
      </c>
      <c r="L10" s="27" t="inlineStr">
        <is>
          <t>USD</t>
        </is>
      </c>
      <c r="M10" s="32" t="inlineStr">
        <is>
          <t>Stage 2</t>
        </is>
      </c>
      <c r="N10" s="27" t="inlineStr">
        <is>
          <t>Active</t>
        </is>
      </c>
      <c r="O10" s="28" t="inlineStr">
        <is>
          <t>Canada (CTC)</t>
        </is>
      </c>
    </row>
    <row r="11" ht="20" customHeight="1">
      <c r="A11" s="22" t="inlineStr">
        <is>
          <t>LS-09</t>
        </is>
      </c>
      <c r="B11" s="23" t="inlineStr">
        <is>
          <t>Singapore Airlines</t>
        </is>
      </c>
      <c r="C11" s="22" t="inlineStr">
        <is>
          <t>9V-SMB</t>
        </is>
      </c>
      <c r="D11" s="22" t="inlineStr">
        <is>
          <t>A350-900</t>
        </is>
      </c>
      <c r="E11" s="22" t="inlineStr">
        <is>
          <t>2023-02-01</t>
        </is>
      </c>
      <c r="F11" s="22" t="inlineStr">
        <is>
          <t>2033-02-01</t>
        </is>
      </c>
      <c r="G11" s="22" t="n">
        <v>120</v>
      </c>
      <c r="H11" s="22" t="n">
        <v>81</v>
      </c>
      <c r="I11" s="41" t="n">
        <v>1050000</v>
      </c>
      <c r="J11" s="41" t="n">
        <v>12600000</v>
      </c>
      <c r="K11" s="41" t="n">
        <v>85050000</v>
      </c>
      <c r="L11" s="22" t="inlineStr">
        <is>
          <t>USD</t>
        </is>
      </c>
      <c r="M11" s="31" t="inlineStr">
        <is>
          <t>Stage 1</t>
        </is>
      </c>
      <c r="N11" s="22" t="inlineStr">
        <is>
          <t>Active</t>
        </is>
      </c>
      <c r="O11" s="23" t="inlineStr">
        <is>
          <t>Singapore (CTC)</t>
        </is>
      </c>
    </row>
    <row r="12" ht="20" customHeight="1">
      <c r="A12" s="27" t="inlineStr">
        <is>
          <t>LS-10</t>
        </is>
      </c>
      <c r="B12" s="28" t="inlineStr">
        <is>
          <t>Lufthansa</t>
        </is>
      </c>
      <c r="C12" s="27" t="inlineStr">
        <is>
          <t>D-AIVM</t>
        </is>
      </c>
      <c r="D12" s="27" t="inlineStr">
        <is>
          <t>A220-300</t>
        </is>
      </c>
      <c r="E12" s="27" t="inlineStr">
        <is>
          <t>2022-08-01</t>
        </is>
      </c>
      <c r="F12" s="27" t="inlineStr">
        <is>
          <t>2032-08-01</t>
        </is>
      </c>
      <c r="G12" s="27" t="n">
        <v>120</v>
      </c>
      <c r="H12" s="27" t="n">
        <v>75</v>
      </c>
      <c r="I12" s="42" t="n">
        <v>220000</v>
      </c>
      <c r="J12" s="42" t="n">
        <v>2640000</v>
      </c>
      <c r="K12" s="42" t="n">
        <v>16500000</v>
      </c>
      <c r="L12" s="27" t="inlineStr">
        <is>
          <t>USD</t>
        </is>
      </c>
      <c r="M12" s="31" t="inlineStr">
        <is>
          <t>Stage 1</t>
        </is>
      </c>
      <c r="N12" s="27" t="inlineStr">
        <is>
          <t>Active</t>
        </is>
      </c>
      <c r="O12" s="28" t="inlineStr">
        <is>
          <t>Germany (CTC)</t>
        </is>
      </c>
    </row>
    <row r="13" ht="22" customHeight="1">
      <c r="A13" s="33" t="inlineStr">
        <is>
          <t>TOTAL</t>
        </is>
      </c>
      <c r="B13" s="33" t="n"/>
      <c r="C13" s="33" t="n"/>
      <c r="D13" s="33" t="n"/>
      <c r="E13" s="33" t="n"/>
      <c r="F13" s="33" t="n"/>
      <c r="G13" s="33" t="n"/>
      <c r="H13" s="33" t="n"/>
      <c r="I13" s="43">
        <f>SUM(I3:I12)</f>
        <v/>
      </c>
      <c r="J13" s="43">
        <f>SUM(J3:J12)</f>
        <v/>
      </c>
      <c r="K13" s="43">
        <f>SUM(K3:K12)</f>
        <v/>
      </c>
      <c r="L13" s="33" t="n"/>
      <c r="M13" s="33" t="n"/>
      <c r="N13" s="33" t="n"/>
      <c r="O13" s="33" t="n"/>
    </row>
    <row r="14">
      <c r="A14" s="14" t="inlineStr">
        <is>
          <t>Source: mockPortfolioData.ts MOCK_LEASES | Remaining (mo) = months from 31 May 2026 to lease end | Annual Rent = Monthly × 12 | Total Remaining = Monthly × Remaining</t>
        </is>
      </c>
    </row>
  </sheetData>
  <mergeCells count="2">
    <mergeCell ref="A1:O1"/>
    <mergeCell ref="A14:O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0" customWidth="1" min="5" max="5"/>
    <col width="17" customWidth="1" min="6" max="6"/>
    <col width="16" customWidth="1" min="7" max="7"/>
    <col width="16" customWidth="1" min="8" max="8"/>
    <col width="18" customWidth="1" min="9" max="9"/>
    <col width="10" customWidth="1" min="10" max="10"/>
  </cols>
  <sheetData>
    <row r="1" ht="24" customHeight="1">
      <c r="A1" s="44" t="inlineStr">
        <is>
          <t>A. SECURITY DEPOSITS</t>
        </is>
      </c>
    </row>
    <row r="2" ht="26" customHeight="1">
      <c r="A2" s="6" t="inlineStr">
        <is>
          <t>Lease ID</t>
        </is>
      </c>
      <c r="B2" s="6" t="inlineStr">
        <is>
          <t>Lessee</t>
        </is>
      </c>
      <c r="C2" s="6" t="inlineStr">
        <is>
          <t>Watchlist</t>
        </is>
      </c>
      <c r="D2" s="6" t="inlineStr">
        <is>
          <t>Credit Tier</t>
        </is>
      </c>
      <c r="E2" s="6" t="inlineStr">
        <is>
          <t>Monthly Rent ($)</t>
        </is>
      </c>
      <c r="F2" s="6" t="inlineStr">
        <is>
          <t>Deposit Months</t>
        </is>
      </c>
      <c r="G2" s="6" t="inlineStr">
        <is>
          <t>Type</t>
        </is>
      </c>
      <c r="H2" s="6" t="inlineStr">
        <is>
          <t>Deposit Amount ($)</t>
        </is>
      </c>
      <c r="I2" s="6" t="inlineStr">
        <is>
          <t>Notes</t>
        </is>
      </c>
    </row>
    <row r="3" ht="20" customHeight="1">
      <c r="A3" s="22" t="inlineStr">
        <is>
          <t>LS-01</t>
        </is>
      </c>
      <c r="B3" s="23" t="inlineStr">
        <is>
          <t>IndiGo Airlines</t>
        </is>
      </c>
      <c r="C3" s="24" t="inlineStr">
        <is>
          <t>Red</t>
        </is>
      </c>
      <c r="D3" s="22" t="inlineStr">
        <is>
          <t>Distressed</t>
        </is>
      </c>
      <c r="E3" s="41" t="n">
        <v>285000</v>
      </c>
      <c r="F3" s="22" t="n">
        <v>3</v>
      </c>
      <c r="G3" s="22" t="inlineStr">
        <is>
          <t>Cash</t>
        </is>
      </c>
      <c r="H3" s="41" t="n">
        <v>855000</v>
      </c>
      <c r="I3" s="23" t="inlineStr">
        <is>
          <t>3 × monthly rent; held in escrow</t>
        </is>
      </c>
    </row>
    <row r="4" ht="20" customHeight="1">
      <c r="A4" s="27" t="inlineStr">
        <is>
          <t>LS-02</t>
        </is>
      </c>
      <c r="B4" s="28" t="inlineStr">
        <is>
          <t>Aeromexico</t>
        </is>
      </c>
      <c r="C4" s="24" t="inlineStr">
        <is>
          <t>Red</t>
        </is>
      </c>
      <c r="D4" s="27" t="inlineStr">
        <is>
          <t>Distressed</t>
        </is>
      </c>
      <c r="E4" s="42" t="n">
        <v>310000</v>
      </c>
      <c r="F4" s="27" t="n">
        <v>3</v>
      </c>
      <c r="G4" s="27" t="inlineStr">
        <is>
          <t>LC</t>
        </is>
      </c>
      <c r="H4" s="42" t="n">
        <v>930000</v>
      </c>
      <c r="I4" s="28" t="inlineStr">
        <is>
          <t>3 × monthly rent; irrevocable standby LC</t>
        </is>
      </c>
    </row>
    <row r="5" ht="20" customHeight="1">
      <c r="A5" s="22" t="inlineStr">
        <is>
          <t>LS-03</t>
        </is>
      </c>
      <c r="B5" s="23" t="inlineStr">
        <is>
          <t>Emirates</t>
        </is>
      </c>
      <c r="C5" s="31" t="inlineStr">
        <is>
          <t>Green</t>
        </is>
      </c>
      <c r="D5" s="22" t="inlineStr">
        <is>
          <t>Investment Grade</t>
        </is>
      </c>
      <c r="E5" s="41" t="n">
        <v>1240000</v>
      </c>
      <c r="F5" s="22" t="n">
        <v>0</v>
      </c>
      <c r="G5" s="22" t="inlineStr">
        <is>
          <t>—</t>
        </is>
      </c>
      <c r="H5" s="41" t="n">
        <v>0</v>
      </c>
      <c r="I5" s="23" t="inlineStr">
        <is>
          <t>Waived — Investment Grade counterparty</t>
        </is>
      </c>
    </row>
    <row r="6" ht="20" customHeight="1">
      <c r="A6" s="27" t="inlineStr">
        <is>
          <t>LS-04</t>
        </is>
      </c>
      <c r="B6" s="28" t="inlineStr">
        <is>
          <t>SriLankan Airlines</t>
        </is>
      </c>
      <c r="C6" s="32" t="inlineStr">
        <is>
          <t>Amber</t>
        </is>
      </c>
      <c r="D6" s="27" t="inlineStr">
        <is>
          <t>Sub-IG</t>
        </is>
      </c>
      <c r="E6" s="42" t="n">
        <v>480000</v>
      </c>
      <c r="F6" s="27" t="n">
        <v>1</v>
      </c>
      <c r="G6" s="27" t="inlineStr">
        <is>
          <t>Cash</t>
        </is>
      </c>
      <c r="H6" s="42" t="n">
        <v>480000</v>
      </c>
      <c r="I6" s="28" t="inlineStr">
        <is>
          <t>1 × monthly rent; held in lessor account</t>
        </is>
      </c>
    </row>
    <row r="7" ht="20" customHeight="1">
      <c r="A7" s="22" t="inlineStr">
        <is>
          <t>LS-05</t>
        </is>
      </c>
      <c r="B7" s="23" t="inlineStr">
        <is>
          <t>Ryanair</t>
        </is>
      </c>
      <c r="C7" s="31" t="inlineStr">
        <is>
          <t>Green</t>
        </is>
      </c>
      <c r="D7" s="22" t="inlineStr">
        <is>
          <t>Investment Grade</t>
        </is>
      </c>
      <c r="E7" s="41" t="n">
        <v>340000</v>
      </c>
      <c r="F7" s="22" t="n">
        <v>0</v>
      </c>
      <c r="G7" s="22" t="inlineStr">
        <is>
          <t>—</t>
        </is>
      </c>
      <c r="H7" s="41" t="n">
        <v>0</v>
      </c>
      <c r="I7" s="23" t="inlineStr">
        <is>
          <t>Waived — Investment Grade counterparty</t>
        </is>
      </c>
    </row>
    <row r="8" ht="20" customHeight="1">
      <c r="A8" s="27" t="inlineStr">
        <is>
          <t>LS-06</t>
        </is>
      </c>
      <c r="B8" s="28" t="inlineStr">
        <is>
          <t>Air France</t>
        </is>
      </c>
      <c r="C8" s="31" t="inlineStr">
        <is>
          <t>Green</t>
        </is>
      </c>
      <c r="D8" s="27" t="inlineStr">
        <is>
          <t>Investment Grade</t>
        </is>
      </c>
      <c r="E8" s="42" t="n">
        <v>960000</v>
      </c>
      <c r="F8" s="27" t="n">
        <v>0</v>
      </c>
      <c r="G8" s="27" t="inlineStr">
        <is>
          <t>—</t>
        </is>
      </c>
      <c r="H8" s="42" t="n">
        <v>0</v>
      </c>
      <c r="I8" s="28" t="inlineStr">
        <is>
          <t>Waived — Investment Grade counterparty</t>
        </is>
      </c>
    </row>
    <row r="9" ht="20" customHeight="1">
      <c r="A9" s="22" t="inlineStr">
        <is>
          <t>LS-07</t>
        </is>
      </c>
      <c r="B9" s="23" t="inlineStr">
        <is>
          <t>Azul Brazilian Airlines</t>
        </is>
      </c>
      <c r="C9" s="32" t="inlineStr">
        <is>
          <t>Amber</t>
        </is>
      </c>
      <c r="D9" s="22" t="inlineStr">
        <is>
          <t>Sub-IG</t>
        </is>
      </c>
      <c r="E9" s="41" t="n">
        <v>295000</v>
      </c>
      <c r="F9" s="22" t="n">
        <v>1</v>
      </c>
      <c r="G9" s="22" t="inlineStr">
        <is>
          <t>Cash</t>
        </is>
      </c>
      <c r="H9" s="41" t="n">
        <v>295000</v>
      </c>
      <c r="I9" s="23" t="inlineStr">
        <is>
          <t>1 × monthly rent; held in escrow</t>
        </is>
      </c>
    </row>
    <row r="10" ht="20" customHeight="1">
      <c r="A10" s="27" t="inlineStr">
        <is>
          <t>LS-08</t>
        </is>
      </c>
      <c r="B10" s="28" t="inlineStr">
        <is>
          <t>Air Transat</t>
        </is>
      </c>
      <c r="C10" s="32" t="inlineStr">
        <is>
          <t>Amber</t>
        </is>
      </c>
      <c r="D10" s="27" t="inlineStr">
        <is>
          <t>Sub-IG</t>
        </is>
      </c>
      <c r="E10" s="42" t="n">
        <v>275000</v>
      </c>
      <c r="F10" s="27" t="n">
        <v>1</v>
      </c>
      <c r="G10" s="27" t="inlineStr">
        <is>
          <t>LC</t>
        </is>
      </c>
      <c r="H10" s="42" t="n">
        <v>275000</v>
      </c>
      <c r="I10" s="28" t="inlineStr">
        <is>
          <t>1 × monthly rent; bank LC</t>
        </is>
      </c>
    </row>
    <row r="11" ht="20" customHeight="1">
      <c r="A11" s="22" t="inlineStr">
        <is>
          <t>LS-09</t>
        </is>
      </c>
      <c r="B11" s="23" t="inlineStr">
        <is>
          <t>Singapore Airlines</t>
        </is>
      </c>
      <c r="C11" s="31" t="inlineStr">
        <is>
          <t>Green</t>
        </is>
      </c>
      <c r="D11" s="22" t="inlineStr">
        <is>
          <t>Investment Grade</t>
        </is>
      </c>
      <c r="E11" s="41" t="n">
        <v>1050000</v>
      </c>
      <c r="F11" s="22" t="n">
        <v>0</v>
      </c>
      <c r="G11" s="22" t="inlineStr">
        <is>
          <t>—</t>
        </is>
      </c>
      <c r="H11" s="41" t="n">
        <v>0</v>
      </c>
      <c r="I11" s="23" t="inlineStr">
        <is>
          <t>Waived — Investment Grade counterparty</t>
        </is>
      </c>
    </row>
    <row r="12" ht="20" customHeight="1">
      <c r="A12" s="27" t="inlineStr">
        <is>
          <t>LS-10</t>
        </is>
      </c>
      <c r="B12" s="28" t="inlineStr">
        <is>
          <t>Lufthansa</t>
        </is>
      </c>
      <c r="C12" s="31" t="inlineStr">
        <is>
          <t>Green</t>
        </is>
      </c>
      <c r="D12" s="27" t="inlineStr">
        <is>
          <t>Investment Grade</t>
        </is>
      </c>
      <c r="E12" s="42" t="n">
        <v>220000</v>
      </c>
      <c r="F12" s="27" t="n">
        <v>0</v>
      </c>
      <c r="G12" s="27" t="inlineStr">
        <is>
          <t>—</t>
        </is>
      </c>
      <c r="H12" s="42" t="n">
        <v>0</v>
      </c>
      <c r="I12" s="28" t="inlineStr">
        <is>
          <t>Waived — Investment Grade counterparty</t>
        </is>
      </c>
    </row>
    <row r="13">
      <c r="A13" s="33" t="inlineStr">
        <is>
          <t>TOTAL</t>
        </is>
      </c>
      <c r="B13" s="33" t="n"/>
      <c r="C13" s="33" t="n"/>
      <c r="D13" s="33" t="n"/>
      <c r="E13" s="33" t="n"/>
      <c r="F13" s="33" t="n"/>
      <c r="G13" s="33" t="n"/>
      <c r="H13" s="43">
        <f>SUM(H3:H12)</f>
        <v/>
      </c>
      <c r="I13" s="33" t="n"/>
    </row>
    <row r="16" ht="24" customHeight="1">
      <c r="A16" s="44" t="inlineStr">
        <is>
          <t>B. MAINTENANCE RESERVES</t>
        </is>
      </c>
    </row>
    <row r="17" ht="26" customHeight="1">
      <c r="A17" s="6" t="inlineStr">
        <is>
          <t>Lease ID</t>
        </is>
      </c>
      <c r="B17" s="6" t="inlineStr">
        <is>
          <t>Aircraft Reg</t>
        </is>
      </c>
      <c r="C17" s="6" t="inlineStr">
        <is>
          <t>Type</t>
        </is>
      </c>
      <c r="D17" s="6" t="inlineStr">
        <is>
          <t>Component</t>
        </is>
      </c>
      <c r="E17" s="6" t="inlineStr">
        <is>
          <t>Rate Basis</t>
        </is>
      </c>
      <c r="F17" s="6" t="inlineStr">
        <is>
          <t>Rate ($/FH or $/Cy)</t>
        </is>
      </c>
      <c r="G17" s="6" t="inlineStr">
        <is>
          <t>Est. Annual FH/Cy</t>
        </is>
      </c>
      <c r="H17" s="6" t="inlineStr">
        <is>
          <t>Annual Accrual ($)</t>
        </is>
      </c>
      <c r="I17" s="6" t="inlineStr">
        <is>
          <t>Cumulative Balance ($)</t>
        </is>
      </c>
      <c r="J17" s="6" t="inlineStr">
        <is>
          <t>Refundable</t>
        </is>
      </c>
    </row>
    <row r="18" ht="20" customHeight="1">
      <c r="A18" s="27" t="inlineStr">
        <is>
          <t>LS-01</t>
        </is>
      </c>
      <c r="B18" s="27" t="inlineStr">
        <is>
          <t>VT-IYC</t>
        </is>
      </c>
      <c r="C18" s="28" t="inlineStr">
        <is>
          <t>A320neo</t>
        </is>
      </c>
      <c r="D18" s="28" t="inlineStr">
        <is>
          <t>Airframe HSI</t>
        </is>
      </c>
      <c r="E18" s="27" t="inlineStr">
        <is>
          <t>per FH</t>
        </is>
      </c>
      <c r="F18" s="30" t="n">
        <v>95</v>
      </c>
      <c r="G18" s="30" t="n">
        <v>3500</v>
      </c>
      <c r="H18" s="30" t="n">
        <v>332500</v>
      </c>
      <c r="I18" s="30" t="n">
        <v>114000</v>
      </c>
      <c r="J18" s="27" t="inlineStr">
        <is>
          <t>Yes</t>
        </is>
      </c>
    </row>
    <row r="19" ht="20" customHeight="1">
      <c r="A19" s="22" t="inlineStr">
        <is>
          <t>LS-01</t>
        </is>
      </c>
      <c r="B19" s="22" t="inlineStr">
        <is>
          <t>VT-IYC</t>
        </is>
      </c>
      <c r="C19" s="23" t="inlineStr">
        <is>
          <t>A320neo</t>
        </is>
      </c>
      <c r="D19" s="23" t="inlineStr">
        <is>
          <t>Engine PR</t>
        </is>
      </c>
      <c r="E19" s="22" t="inlineStr">
        <is>
          <t>per FH</t>
        </is>
      </c>
      <c r="F19" s="26" t="n">
        <v>180</v>
      </c>
      <c r="G19" s="26" t="n">
        <v>3500</v>
      </c>
      <c r="H19" s="26" t="n">
        <v>630000</v>
      </c>
      <c r="I19" s="26" t="n">
        <v>216000</v>
      </c>
      <c r="J19" s="22" t="inlineStr">
        <is>
          <t>Yes</t>
        </is>
      </c>
    </row>
    <row r="20" ht="20" customHeight="1">
      <c r="A20" s="27" t="inlineStr">
        <is>
          <t>LS-01</t>
        </is>
      </c>
      <c r="B20" s="27" t="inlineStr">
        <is>
          <t>VT-IYC</t>
        </is>
      </c>
      <c r="C20" s="28" t="inlineStr">
        <is>
          <t>A320neo</t>
        </is>
      </c>
      <c r="D20" s="28" t="inlineStr">
        <is>
          <t>LLPs</t>
        </is>
      </c>
      <c r="E20" s="27" t="inlineStr">
        <is>
          <t>per Cy</t>
        </is>
      </c>
      <c r="F20" s="30" t="n">
        <v>240</v>
      </c>
      <c r="G20" s="30" t="n">
        <v>2800</v>
      </c>
      <c r="H20" s="30" t="n">
        <v>672000</v>
      </c>
      <c r="I20" s="30" t="n">
        <v>288000</v>
      </c>
      <c r="J20" s="27" t="inlineStr">
        <is>
          <t>Yes</t>
        </is>
      </c>
    </row>
    <row r="21" ht="20" customHeight="1">
      <c r="A21" s="22" t="inlineStr">
        <is>
          <t>LS-04</t>
        </is>
      </c>
      <c r="B21" s="22" t="inlineStr">
        <is>
          <t>4R-ALB</t>
        </is>
      </c>
      <c r="C21" s="23" t="inlineStr">
        <is>
          <t>A330-300</t>
        </is>
      </c>
      <c r="D21" s="23" t="inlineStr">
        <is>
          <t>Airframe HSI</t>
        </is>
      </c>
      <c r="E21" s="22" t="inlineStr">
        <is>
          <t>per FH</t>
        </is>
      </c>
      <c r="F21" s="26" t="n">
        <v>180</v>
      </c>
      <c r="G21" s="26" t="n">
        <v>4500</v>
      </c>
      <c r="H21" s="26" t="n">
        <v>810000</v>
      </c>
      <c r="I21" s="26" t="n">
        <v>900000</v>
      </c>
      <c r="J21" s="22" t="inlineStr">
        <is>
          <t>Yes</t>
        </is>
      </c>
    </row>
    <row r="22" ht="20" customHeight="1">
      <c r="A22" s="27" t="inlineStr">
        <is>
          <t>LS-04</t>
        </is>
      </c>
      <c r="B22" s="27" t="inlineStr">
        <is>
          <t>4R-ALB</t>
        </is>
      </c>
      <c r="C22" s="28" t="inlineStr">
        <is>
          <t>A330-300</t>
        </is>
      </c>
      <c r="D22" s="28" t="inlineStr">
        <is>
          <t>Engine PR</t>
        </is>
      </c>
      <c r="E22" s="27" t="inlineStr">
        <is>
          <t>per FH</t>
        </is>
      </c>
      <c r="F22" s="30" t="n">
        <v>310</v>
      </c>
      <c r="G22" s="30" t="n">
        <v>4500</v>
      </c>
      <c r="H22" s="30" t="n">
        <v>1395000</v>
      </c>
      <c r="I22" s="30" t="n">
        <v>1550000</v>
      </c>
      <c r="J22" s="27" t="inlineStr">
        <is>
          <t>Yes</t>
        </is>
      </c>
    </row>
    <row r="23" ht="20" customHeight="1">
      <c r="A23" s="22" t="inlineStr">
        <is>
          <t>LS-04</t>
        </is>
      </c>
      <c r="B23" s="22" t="inlineStr">
        <is>
          <t>4R-ALB</t>
        </is>
      </c>
      <c r="C23" s="23" t="inlineStr">
        <is>
          <t>A330-300</t>
        </is>
      </c>
      <c r="D23" s="23" t="inlineStr">
        <is>
          <t>LLPs</t>
        </is>
      </c>
      <c r="E23" s="22" t="inlineStr">
        <is>
          <t>per Cy</t>
        </is>
      </c>
      <c r="F23" s="26" t="n">
        <v>380</v>
      </c>
      <c r="G23" s="26" t="n">
        <v>1500</v>
      </c>
      <c r="H23" s="26" t="n">
        <v>570000</v>
      </c>
      <c r="I23" s="26" t="n">
        <v>633000</v>
      </c>
      <c r="J23" s="22" t="inlineStr">
        <is>
          <t>Yes</t>
        </is>
      </c>
    </row>
    <row r="24" ht="20" customHeight="1">
      <c r="A24" s="27" t="inlineStr">
        <is>
          <t>LS-03</t>
        </is>
      </c>
      <c r="B24" s="27" t="inlineStr">
        <is>
          <t>A6-ECE</t>
        </is>
      </c>
      <c r="C24" s="28" t="inlineStr">
        <is>
          <t>B777-300ER</t>
        </is>
      </c>
      <c r="D24" s="28" t="inlineStr">
        <is>
          <t>Airframe HSI</t>
        </is>
      </c>
      <c r="E24" s="27" t="inlineStr">
        <is>
          <t>per FH</t>
        </is>
      </c>
      <c r="F24" s="30" t="n">
        <v>220</v>
      </c>
      <c r="G24" s="30" t="n">
        <v>4800</v>
      </c>
      <c r="H24" s="30" t="n">
        <v>1056000</v>
      </c>
      <c r="I24" s="30" t="n">
        <v>0</v>
      </c>
      <c r="J24" s="27" t="inlineStr">
        <is>
          <t>Yes</t>
        </is>
      </c>
    </row>
    <row r="25" ht="20" customHeight="1">
      <c r="A25" s="22" t="inlineStr">
        <is>
          <t>LS-03</t>
        </is>
      </c>
      <c r="B25" s="22" t="inlineStr">
        <is>
          <t>A6-ECE</t>
        </is>
      </c>
      <c r="C25" s="23" t="inlineStr">
        <is>
          <t>B777-300ER</t>
        </is>
      </c>
      <c r="D25" s="23" t="inlineStr">
        <is>
          <t>Engine PR</t>
        </is>
      </c>
      <c r="E25" s="22" t="inlineStr">
        <is>
          <t>per FH</t>
        </is>
      </c>
      <c r="F25" s="26" t="n">
        <v>420</v>
      </c>
      <c r="G25" s="26" t="n">
        <v>4800</v>
      </c>
      <c r="H25" s="26" t="n">
        <v>2016000</v>
      </c>
      <c r="I25" s="26" t="n">
        <v>0</v>
      </c>
      <c r="J25" s="22" t="inlineStr">
        <is>
          <t>Yes</t>
        </is>
      </c>
    </row>
    <row r="26" ht="20" customHeight="1">
      <c r="A26" s="27" t="inlineStr">
        <is>
          <t>LS-07</t>
        </is>
      </c>
      <c r="B26" s="27" t="inlineStr">
        <is>
          <t>PR-YRJ</t>
        </is>
      </c>
      <c r="C26" s="28" t="inlineStr">
        <is>
          <t>A320neo</t>
        </is>
      </c>
      <c r="D26" s="28" t="inlineStr">
        <is>
          <t>Airframe HSI</t>
        </is>
      </c>
      <c r="E26" s="27" t="inlineStr">
        <is>
          <t>per FH</t>
        </is>
      </c>
      <c r="F26" s="30" t="n">
        <v>95</v>
      </c>
      <c r="G26" s="30" t="n">
        <v>3500</v>
      </c>
      <c r="H26" s="30" t="n">
        <v>332500</v>
      </c>
      <c r="I26" s="30" t="n">
        <v>95000</v>
      </c>
      <c r="J26" s="27" t="inlineStr">
        <is>
          <t>Yes</t>
        </is>
      </c>
    </row>
    <row r="27" ht="20" customHeight="1">
      <c r="A27" s="22" t="inlineStr">
        <is>
          <t>LS-07</t>
        </is>
      </c>
      <c r="B27" s="22" t="inlineStr">
        <is>
          <t>PR-YRJ</t>
        </is>
      </c>
      <c r="C27" s="23" t="inlineStr">
        <is>
          <t>A320neo</t>
        </is>
      </c>
      <c r="D27" s="23" t="inlineStr">
        <is>
          <t>Engine PR</t>
        </is>
      </c>
      <c r="E27" s="22" t="inlineStr">
        <is>
          <t>per FH</t>
        </is>
      </c>
      <c r="F27" s="26" t="n">
        <v>180</v>
      </c>
      <c r="G27" s="26" t="n">
        <v>3500</v>
      </c>
      <c r="H27" s="26" t="n">
        <v>630000</v>
      </c>
      <c r="I27" s="26" t="n">
        <v>180000</v>
      </c>
      <c r="J27" s="22" t="inlineStr">
        <is>
          <t>Yes</t>
        </is>
      </c>
    </row>
    <row r="28" ht="20" customHeight="1">
      <c r="A28" s="27" t="inlineStr">
        <is>
          <t>LS-08</t>
        </is>
      </c>
      <c r="B28" s="27" t="inlineStr">
        <is>
          <t>C-GTSA</t>
        </is>
      </c>
      <c r="C28" s="28" t="inlineStr">
        <is>
          <t>A321neo</t>
        </is>
      </c>
      <c r="D28" s="28" t="inlineStr">
        <is>
          <t>Airframe HSI</t>
        </is>
      </c>
      <c r="E28" s="27" t="inlineStr">
        <is>
          <t>per FH</t>
        </is>
      </c>
      <c r="F28" s="30" t="n">
        <v>95</v>
      </c>
      <c r="G28" s="30" t="n">
        <v>3500</v>
      </c>
      <c r="H28" s="30" t="n">
        <v>332500</v>
      </c>
      <c r="I28" s="30" t="n">
        <v>114000</v>
      </c>
      <c r="J28" s="27" t="inlineStr">
        <is>
          <t>Yes</t>
        </is>
      </c>
    </row>
    <row r="29" ht="20" customHeight="1">
      <c r="A29" s="22" t="inlineStr">
        <is>
          <t>LS-08</t>
        </is>
      </c>
      <c r="B29" s="22" t="inlineStr">
        <is>
          <t>C-GTSA</t>
        </is>
      </c>
      <c r="C29" s="23" t="inlineStr">
        <is>
          <t>A321neo</t>
        </is>
      </c>
      <c r="D29" s="23" t="inlineStr">
        <is>
          <t>Engine PR</t>
        </is>
      </c>
      <c r="E29" s="22" t="inlineStr">
        <is>
          <t>per FH</t>
        </is>
      </c>
      <c r="F29" s="26" t="n">
        <v>190</v>
      </c>
      <c r="G29" s="26" t="n">
        <v>3500</v>
      </c>
      <c r="H29" s="26" t="n">
        <v>665000</v>
      </c>
      <c r="I29" s="26" t="n">
        <v>190000</v>
      </c>
      <c r="J29" s="22" t="inlineStr">
        <is>
          <t>Yes</t>
        </is>
      </c>
    </row>
    <row r="30">
      <c r="A30" s="33" t="inlineStr">
        <is>
          <t>TOTAL</t>
        </is>
      </c>
      <c r="B30" s="33" t="n"/>
      <c r="C30" s="33" t="n"/>
      <c r="D30" s="33" t="n"/>
      <c r="E30" s="33" t="n"/>
      <c r="F30" s="33" t="n"/>
      <c r="G30" s="33" t="n"/>
      <c r="H30" s="35">
        <f>SUM(H18:H29)</f>
        <v/>
      </c>
      <c r="I30" s="35">
        <f>SUM(I18:I29)</f>
        <v/>
      </c>
      <c r="J30" s="33" t="n"/>
    </row>
    <row r="31">
      <c r="A31" s="14" t="inlineStr">
        <is>
          <t>Sources: seed_demo.py MaintenanceReserve records | maintenanceHeuristics.ts rates (IATA MCTF / IAWG 2024) | Cumulative balance = rate × ~1,200 FH equivalent for seeded records | Emirates/Azul MR held in trust — no balance reported</t>
        </is>
      </c>
    </row>
  </sheetData>
  <mergeCells count="1">
    <mergeCell ref="A31:J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20" customWidth="1" min="4" max="4"/>
    <col width="14" customWidth="1" min="5" max="5"/>
    <col width="10" customWidth="1" min="6" max="6"/>
    <col width="13" customWidth="1" min="7" max="7"/>
    <col width="8" customWidth="1" min="8" max="8"/>
    <col width="12" customWidth="1" min="9" max="9"/>
    <col width="16" customWidth="1" min="10" max="10"/>
    <col width="17" customWidth="1" min="11" max="11"/>
    <col width="18" customWidth="1" min="12" max="12"/>
    <col width="17" customWidth="1" min="13" max="13"/>
    <col width="20" customWidth="1" min="14" max="14"/>
    <col width="16" customWidth="1" min="15" max="15"/>
    <col width="12" customWidth="1" min="16" max="16"/>
    <col width="10" customWidth="1" min="17" max="17"/>
    <col width="18" customWidth="1" min="18" max="18"/>
  </cols>
  <sheetData>
    <row r="1" ht="26" customHeight="1">
      <c r="A1" s="10" t="inlineStr">
        <is>
          <t>IFRS 9 EXPECTED CREDIT LOSS  |  ECL = PD × LGD × EAD  |  Stage 1: 12-month ECL  |  Stage 2/3: Lifetime ECL</t>
        </is>
      </c>
    </row>
    <row r="2">
      <c r="A2" s="45" t="inlineStr">
        <is>
          <t>Discount Rate (effective interest rate):</t>
        </is>
      </c>
      <c r="C2" s="46" t="n">
        <v>0.0575</v>
      </c>
      <c r="D2" s="14" t="inlineStr">
        <is>
          <t>Source: seed_demo.py default_discount_rate</t>
        </is>
      </c>
    </row>
    <row r="3" ht="30" customHeight="1">
      <c r="A3" s="6" t="inlineStr">
        <is>
          <t>Lease ID</t>
        </is>
      </c>
      <c r="B3" s="6" t="inlineStr">
        <is>
          <t>Lessee</t>
        </is>
      </c>
      <c r="C3" s="6" t="inlineStr">
        <is>
          <t>Type</t>
        </is>
      </c>
      <c r="D3" s="6" t="inlineStr">
        <is>
          <t>Stage</t>
        </is>
      </c>
      <c r="E3" s="6" t="inlineStr">
        <is>
          <t>EAD ($M)</t>
        </is>
      </c>
      <c r="F3" s="6" t="inlineStr">
        <is>
          <t>PD — 12m</t>
        </is>
      </c>
      <c r="G3" s="6" t="inlineStr">
        <is>
          <t>PD — Lifetime</t>
        </is>
      </c>
      <c r="H3" s="6" t="inlineStr">
        <is>
          <t>LGD</t>
        </is>
      </c>
      <c r="I3" s="6" t="inlineStr">
        <is>
          <t>ECL 12m ($M)</t>
        </is>
      </c>
      <c r="J3" s="6" t="inlineStr">
        <is>
          <t>ECL Lifetime ($M)</t>
        </is>
      </c>
      <c r="K3" s="6" t="inlineStr">
        <is>
          <t>Scenario: Base ($M)</t>
        </is>
      </c>
      <c r="L3" s="6" t="inlineStr">
        <is>
          <t>Scenario: Adverse ($M)</t>
        </is>
      </c>
      <c r="M3" s="6" t="inlineStr">
        <is>
          <t>Scenario: Upside ($M)</t>
        </is>
      </c>
      <c r="N3" s="6" t="inlineStr">
        <is>
          <t>Prob. Weighted ECL ($M)</t>
        </is>
      </c>
      <c r="O3" s="6" t="inlineStr">
        <is>
          <t>Prior Period ECL ($M)</t>
        </is>
      </c>
      <c r="P3" s="6" t="inlineStr">
        <is>
          <t>Movement ($M)</t>
        </is>
      </c>
      <c r="Q3" s="6" t="inlineStr">
        <is>
          <t>Direction</t>
        </is>
      </c>
      <c r="R3" s="6" t="inlineStr">
        <is>
          <t>SICR Trigger</t>
        </is>
      </c>
    </row>
    <row r="4" ht="22" customHeight="1">
      <c r="A4" s="27" t="inlineStr">
        <is>
          <t>LS-01</t>
        </is>
      </c>
      <c r="B4" s="28" t="inlineStr">
        <is>
          <t>IndiGo Airlines</t>
        </is>
      </c>
      <c r="C4" s="27" t="inlineStr">
        <is>
          <t>A320neo</t>
        </is>
      </c>
      <c r="D4" s="24" t="inlineStr">
        <is>
          <t>Stage 3</t>
        </is>
      </c>
      <c r="E4" s="47" t="n">
        <v>24.2</v>
      </c>
      <c r="F4" s="38" t="n">
        <v>0.12</v>
      </c>
      <c r="G4" s="38" t="n">
        <v>0.85</v>
      </c>
      <c r="H4" s="38" t="n">
        <v>0.45</v>
      </c>
      <c r="I4" s="47" t="n">
        <v>1.308</v>
      </c>
      <c r="J4" s="47" t="n">
        <v>4.2</v>
      </c>
      <c r="K4" s="47" t="n">
        <v>4.2</v>
      </c>
      <c r="L4" s="47" t="n">
        <v>5.25</v>
      </c>
      <c r="M4" s="47" t="n">
        <v>3.35</v>
      </c>
      <c r="N4" s="47" t="n">
        <v>4.335</v>
      </c>
      <c r="O4" s="47" t="n">
        <v>3.85</v>
      </c>
      <c r="P4" s="48" t="n">
        <v>0.3500000000000001</v>
      </c>
      <c r="Q4" s="49" t="inlineStr">
        <is>
          <t>▲</t>
        </is>
      </c>
      <c r="R4" s="28" t="inlineStr">
        <is>
          <t>47 DPD backstop + country watchlist</t>
        </is>
      </c>
    </row>
    <row r="5" ht="22" customHeight="1">
      <c r="A5" s="22" t="inlineStr">
        <is>
          <t>LS-02</t>
        </is>
      </c>
      <c r="B5" s="23" t="inlineStr">
        <is>
          <t>Aeromexico</t>
        </is>
      </c>
      <c r="C5" s="22" t="inlineStr">
        <is>
          <t>B737-800</t>
        </is>
      </c>
      <c r="D5" s="24" t="inlineStr">
        <is>
          <t>Stage 3</t>
        </is>
      </c>
      <c r="E5" s="50" t="n">
        <v>32.1</v>
      </c>
      <c r="F5" s="36" t="n">
        <v>0.28</v>
      </c>
      <c r="G5" s="36" t="n">
        <v>1</v>
      </c>
      <c r="H5" s="36" t="n">
        <v>0.45</v>
      </c>
      <c r="I5" s="50" t="n">
        <v>4.046</v>
      </c>
      <c r="J5" s="50" t="n">
        <v>3.8</v>
      </c>
      <c r="K5" s="50" t="n">
        <v>3.8</v>
      </c>
      <c r="L5" s="50" t="n">
        <v>5.1</v>
      </c>
      <c r="M5" s="50" t="n">
        <v>2.9</v>
      </c>
      <c r="N5" s="50" t="n">
        <v>3.99</v>
      </c>
      <c r="O5" s="50" t="n">
        <v>1.89</v>
      </c>
      <c r="P5" s="51" t="n">
        <v>1.91</v>
      </c>
      <c r="Q5" s="52" t="inlineStr">
        <is>
          <t>▲</t>
        </is>
      </c>
      <c r="R5" s="23" t="inlineStr">
        <is>
          <t>Insolvency filing (Jan 2026) + 89 DPD + 3-notch downgrade</t>
        </is>
      </c>
    </row>
    <row r="6" ht="22" customHeight="1">
      <c r="A6" s="27" t="inlineStr">
        <is>
          <t>LS-03</t>
        </is>
      </c>
      <c r="B6" s="28" t="inlineStr">
        <is>
          <t>Emirates</t>
        </is>
      </c>
      <c r="C6" s="27" t="inlineStr">
        <is>
          <t>B777-300ER</t>
        </is>
      </c>
      <c r="D6" s="31" t="inlineStr">
        <is>
          <t>Stage 1</t>
        </is>
      </c>
      <c r="E6" s="47" t="n">
        <v>88.40000000000001</v>
      </c>
      <c r="F6" s="38" t="n">
        <v>0.01</v>
      </c>
      <c r="G6" s="38" t="n">
        <v>0.015</v>
      </c>
      <c r="H6" s="38" t="n">
        <v>0.45</v>
      </c>
      <c r="I6" s="47" t="n">
        <v>0.398</v>
      </c>
      <c r="J6" s="47" t="n">
        <v>0.89</v>
      </c>
      <c r="K6" s="47" t="n">
        <v>0.89</v>
      </c>
      <c r="L6" s="47" t="n">
        <v>1.12</v>
      </c>
      <c r="M6" s="47" t="n">
        <v>0.71</v>
      </c>
      <c r="N6" s="47" t="n">
        <v>0.9205000000000001</v>
      </c>
      <c r="O6" s="47" t="n">
        <v>0.89</v>
      </c>
      <c r="P6" s="53" t="n">
        <v>0</v>
      </c>
      <c r="Q6" s="54" t="inlineStr">
        <is>
          <t>▼</t>
        </is>
      </c>
      <c r="R6" s="28" t="inlineStr">
        <is>
          <t>None — Stage 1 (12m ECL)</t>
        </is>
      </c>
    </row>
    <row r="7" ht="22" customHeight="1">
      <c r="A7" s="22" t="inlineStr">
        <is>
          <t>LS-04</t>
        </is>
      </c>
      <c r="B7" s="23" t="inlineStr">
        <is>
          <t>SriLankan Airlines</t>
        </is>
      </c>
      <c r="C7" s="22" t="inlineStr">
        <is>
          <t>A330-300</t>
        </is>
      </c>
      <c r="D7" s="32" t="inlineStr">
        <is>
          <t>Stage 2</t>
        </is>
      </c>
      <c r="E7" s="50" t="n">
        <v>34.2</v>
      </c>
      <c r="F7" s="36" t="n">
        <v>0.08</v>
      </c>
      <c r="G7" s="36" t="n">
        <v>0.24</v>
      </c>
      <c r="H7" s="36" t="n">
        <v>0.45</v>
      </c>
      <c r="I7" s="50" t="n">
        <v>1.231</v>
      </c>
      <c r="J7" s="50" t="n">
        <v>2.1</v>
      </c>
      <c r="K7" s="50" t="n">
        <v>2.1</v>
      </c>
      <c r="L7" s="50" t="n">
        <v>2.8</v>
      </c>
      <c r="M7" s="50" t="n">
        <v>1.65</v>
      </c>
      <c r="N7" s="50" t="n">
        <v>2.2075</v>
      </c>
      <c r="O7" s="50" t="n">
        <v>1.95</v>
      </c>
      <c r="P7" s="51" t="n">
        <v>0.1500000000000001</v>
      </c>
      <c r="Q7" s="52" t="inlineStr">
        <is>
          <t>▲</t>
        </is>
      </c>
      <c r="R7" s="23" t="inlineStr">
        <is>
          <t>12 DPD + 2-notch downgrade + country watchlist</t>
        </is>
      </c>
    </row>
    <row r="8" ht="22" customHeight="1">
      <c r="A8" s="27" t="inlineStr">
        <is>
          <t>LS-05</t>
        </is>
      </c>
      <c r="B8" s="28" t="inlineStr">
        <is>
          <t>Ryanair</t>
        </is>
      </c>
      <c r="C8" s="27" t="inlineStr">
        <is>
          <t>B737 MAX 8</t>
        </is>
      </c>
      <c r="D8" s="31" t="inlineStr">
        <is>
          <t>Stage 1</t>
        </is>
      </c>
      <c r="E8" s="47" t="n">
        <v>44.7</v>
      </c>
      <c r="F8" s="38" t="n">
        <v>0.02</v>
      </c>
      <c r="G8" s="38" t="n">
        <v>0.03</v>
      </c>
      <c r="H8" s="38" t="n">
        <v>0.45</v>
      </c>
      <c r="I8" s="47" t="n">
        <v>0.402</v>
      </c>
      <c r="J8" s="47" t="n">
        <v>0.45</v>
      </c>
      <c r="K8" s="47" t="n">
        <v>0.45</v>
      </c>
      <c r="L8" s="47" t="n">
        <v>0.62</v>
      </c>
      <c r="M8" s="47" t="n">
        <v>0.36</v>
      </c>
      <c r="N8" s="47" t="n">
        <v>0.479</v>
      </c>
      <c r="O8" s="47" t="n">
        <v>0.38</v>
      </c>
      <c r="P8" s="48" t="n">
        <v>0.07000000000000001</v>
      </c>
      <c r="Q8" s="49" t="inlineStr">
        <is>
          <t>▲</t>
        </is>
      </c>
      <c r="R8" s="28" t="inlineStr">
        <is>
          <t>SICR alert: 32 DPD → recommended S1→S2</t>
        </is>
      </c>
    </row>
    <row r="9" ht="22" customHeight="1">
      <c r="A9" s="22" t="inlineStr">
        <is>
          <t>LS-06</t>
        </is>
      </c>
      <c r="B9" s="23" t="inlineStr">
        <is>
          <t>Air France</t>
        </is>
      </c>
      <c r="C9" s="22" t="inlineStr">
        <is>
          <t>A350-900</t>
        </is>
      </c>
      <c r="D9" s="31" t="inlineStr">
        <is>
          <t>Stage 1</t>
        </is>
      </c>
      <c r="E9" s="50" t="n">
        <v>68.3</v>
      </c>
      <c r="F9" s="36" t="n">
        <v>0.04</v>
      </c>
      <c r="G9" s="36" t="n">
        <v>0.06</v>
      </c>
      <c r="H9" s="36" t="n">
        <v>0.45</v>
      </c>
      <c r="I9" s="50" t="n">
        <v>1.229</v>
      </c>
      <c r="J9" s="50" t="n">
        <v>0.68</v>
      </c>
      <c r="K9" s="50" t="n">
        <v>0.68</v>
      </c>
      <c r="L9" s="50" t="n">
        <v>0.96</v>
      </c>
      <c r="M9" s="50" t="n">
        <v>0.54</v>
      </c>
      <c r="N9" s="50" t="n">
        <v>0.729</v>
      </c>
      <c r="O9" s="50" t="n">
        <v>0.62</v>
      </c>
      <c r="P9" s="51" t="n">
        <v>0.06000000000000005</v>
      </c>
      <c r="Q9" s="52" t="inlineStr">
        <is>
          <t>▲</t>
        </is>
      </c>
      <c r="R9" s="23" t="inlineStr">
        <is>
          <t>SICR alert: 2-notch downgrade → recommended S1→S2</t>
        </is>
      </c>
    </row>
    <row r="10" ht="22" customHeight="1">
      <c r="A10" s="27" t="inlineStr">
        <is>
          <t>LS-07</t>
        </is>
      </c>
      <c r="B10" s="28" t="inlineStr">
        <is>
          <t>Azul Braz. Airlines</t>
        </is>
      </c>
      <c r="C10" s="27" t="inlineStr">
        <is>
          <t>A320neo</t>
        </is>
      </c>
      <c r="D10" s="32" t="inlineStr">
        <is>
          <t>Stage 2</t>
        </is>
      </c>
      <c r="E10" s="47" t="n">
        <v>34.2</v>
      </c>
      <c r="F10" s="38" t="n">
        <v>0.09</v>
      </c>
      <c r="G10" s="38" t="n">
        <v>0.27</v>
      </c>
      <c r="H10" s="38" t="n">
        <v>0.45</v>
      </c>
      <c r="I10" s="47" t="n">
        <v>1.385</v>
      </c>
      <c r="J10" s="47" t="n">
        <v>1.9</v>
      </c>
      <c r="K10" s="47" t="n">
        <v>1.9</v>
      </c>
      <c r="L10" s="47" t="n">
        <v>2.55</v>
      </c>
      <c r="M10" s="47" t="n">
        <v>1.5</v>
      </c>
      <c r="N10" s="47" t="n">
        <v>2.0025</v>
      </c>
      <c r="O10" s="47" t="n">
        <v>1.8</v>
      </c>
      <c r="P10" s="48" t="n">
        <v>0.09999999999999987</v>
      </c>
      <c r="Q10" s="49" t="inlineStr">
        <is>
          <t>▲</t>
        </is>
      </c>
      <c r="R10" s="28" t="inlineStr">
        <is>
          <t>38 DPD + 1-notch downgrade; BRL/USD +14% YoY</t>
        </is>
      </c>
    </row>
    <row r="11" ht="22" customHeight="1">
      <c r="A11" s="22" t="inlineStr">
        <is>
          <t>LS-08</t>
        </is>
      </c>
      <c r="B11" s="23" t="inlineStr">
        <is>
          <t>Air Transat</t>
        </is>
      </c>
      <c r="C11" s="22" t="inlineStr">
        <is>
          <t>A321neo</t>
        </is>
      </c>
      <c r="D11" s="32" t="inlineStr">
        <is>
          <t>Stage 2</t>
        </is>
      </c>
      <c r="E11" s="50" t="n">
        <v>28.9</v>
      </c>
      <c r="F11" s="36" t="n">
        <v>0.11</v>
      </c>
      <c r="G11" s="36" t="n">
        <v>0.33</v>
      </c>
      <c r="H11" s="36" t="n">
        <v>0.45</v>
      </c>
      <c r="I11" s="50" t="n">
        <v>1.43</v>
      </c>
      <c r="J11" s="50" t="n">
        <v>1.5</v>
      </c>
      <c r="K11" s="50" t="n">
        <v>1.5</v>
      </c>
      <c r="L11" s="50" t="n">
        <v>2.05</v>
      </c>
      <c r="M11" s="50" t="n">
        <v>1.18</v>
      </c>
      <c r="N11" s="50" t="n">
        <v>1.5895</v>
      </c>
      <c r="O11" s="50" t="n">
        <v>1.4</v>
      </c>
      <c r="P11" s="51" t="n">
        <v>0.1000000000000001</v>
      </c>
      <c r="Q11" s="52" t="inlineStr">
        <is>
          <t>▲</t>
        </is>
      </c>
      <c r="R11" s="23" t="inlineStr">
        <is>
          <t>35 DPD; lease expiry 4 weeks post-reporting</t>
        </is>
      </c>
    </row>
    <row r="12" ht="22" customHeight="1">
      <c r="A12" s="27" t="inlineStr">
        <is>
          <t>LS-09</t>
        </is>
      </c>
      <c r="B12" s="28" t="inlineStr">
        <is>
          <t>Singapore Airlines</t>
        </is>
      </c>
      <c r="C12" s="27" t="inlineStr">
        <is>
          <t>A350-900</t>
        </is>
      </c>
      <c r="D12" s="31" t="inlineStr">
        <is>
          <t>Stage 1</t>
        </is>
      </c>
      <c r="E12" s="47" t="n">
        <v>91.2</v>
      </c>
      <c r="F12" s="38" t="n">
        <v>0.01</v>
      </c>
      <c r="G12" s="38" t="n">
        <v>0.015</v>
      </c>
      <c r="H12" s="38" t="n">
        <v>0.45</v>
      </c>
      <c r="I12" s="47" t="n">
        <v>0.41</v>
      </c>
      <c r="J12" s="47" t="n">
        <v>1.1</v>
      </c>
      <c r="K12" s="47" t="n">
        <v>1.1</v>
      </c>
      <c r="L12" s="47" t="n">
        <v>1.45</v>
      </c>
      <c r="M12" s="47" t="n">
        <v>0.88</v>
      </c>
      <c r="N12" s="47" t="n">
        <v>1.1545</v>
      </c>
      <c r="O12" s="47" t="n">
        <v>1.05</v>
      </c>
      <c r="P12" s="48" t="n">
        <v>0.05000000000000004</v>
      </c>
      <c r="Q12" s="49" t="inlineStr">
        <is>
          <t>▲</t>
        </is>
      </c>
      <c r="R12" s="28" t="inlineStr">
        <is>
          <t>None — Stage 1 (12m ECL)</t>
        </is>
      </c>
    </row>
    <row r="13" ht="22" customHeight="1">
      <c r="A13" s="22" t="inlineStr">
        <is>
          <t>LS-10</t>
        </is>
      </c>
      <c r="B13" s="23" t="inlineStr">
        <is>
          <t>Lufthansa</t>
        </is>
      </c>
      <c r="C13" s="22" t="inlineStr">
        <is>
          <t>A220-300</t>
        </is>
      </c>
      <c r="D13" s="31" t="inlineStr">
        <is>
          <t>Stage 1</t>
        </is>
      </c>
      <c r="E13" s="50" t="n">
        <v>44.7</v>
      </c>
      <c r="F13" s="36" t="n">
        <v>0.03</v>
      </c>
      <c r="G13" s="36" t="n">
        <v>0.045</v>
      </c>
      <c r="H13" s="36" t="n">
        <v>0.45</v>
      </c>
      <c r="I13" s="50" t="n">
        <v>0.603</v>
      </c>
      <c r="J13" s="50" t="n">
        <v>0.34</v>
      </c>
      <c r="K13" s="50" t="n">
        <v>0.34</v>
      </c>
      <c r="L13" s="50" t="n">
        <v>0.5</v>
      </c>
      <c r="M13" s="50" t="n">
        <v>0.27</v>
      </c>
      <c r="N13" s="50" t="n">
        <v>0.3695</v>
      </c>
      <c r="O13" s="50" t="n">
        <v>0.34</v>
      </c>
      <c r="P13" s="55" t="n">
        <v>0</v>
      </c>
      <c r="Q13" s="56" t="inlineStr">
        <is>
          <t>▼</t>
        </is>
      </c>
      <c r="R13" s="23" t="inlineStr">
        <is>
          <t>None — Stage 1 (12m ECL)</t>
        </is>
      </c>
    </row>
    <row r="14" ht="24" customHeight="1">
      <c r="A14" s="6" t="inlineStr">
        <is>
          <t>PORTFOLIO TOTAL</t>
        </is>
      </c>
      <c r="B14" s="6" t="n"/>
      <c r="C14" s="6" t="n"/>
      <c r="D14" s="6" t="n"/>
      <c r="E14" s="57">
        <f>SUM(E4:E13)</f>
        <v/>
      </c>
      <c r="F14" s="6" t="n"/>
      <c r="G14" s="6" t="n"/>
      <c r="H14" s="6" t="n"/>
      <c r="I14" s="57">
        <f>SUM(I4:I13)</f>
        <v/>
      </c>
      <c r="J14" s="57">
        <f>SUM(J4:J13)</f>
        <v/>
      </c>
      <c r="K14" s="57">
        <f>SUM(K4:K13)</f>
        <v/>
      </c>
      <c r="L14" s="57">
        <f>SUM(L4:L13)</f>
        <v/>
      </c>
      <c r="M14" s="57">
        <f>SUM(M4:M13)</f>
        <v/>
      </c>
      <c r="N14" s="57">
        <f>SUM(N4:N13)</f>
        <v/>
      </c>
      <c r="O14" s="57">
        <f>SUM(O4:O13)</f>
        <v/>
      </c>
      <c r="P14" s="57">
        <f>SUM(P4:P13)</f>
        <v/>
      </c>
      <c r="Q14" s="6" t="n"/>
      <c r="R14" s="6" t="n"/>
    </row>
    <row r="16">
      <c r="A16" s="10" t="inlineStr">
        <is>
          <t>STAGE SUMMARY</t>
        </is>
      </c>
    </row>
    <row r="17" ht="24" customHeight="1">
      <c r="A17" s="6" t="inlineStr">
        <is>
          <t>Stage</t>
        </is>
      </c>
      <c r="B17" s="6" t="inlineStr">
        <is>
          <t>EAD ($M)</t>
        </is>
      </c>
      <c r="C17" s="6" t="inlineStr">
        <is>
          <t>ECL Lifetime ($M)</t>
        </is>
      </c>
      <c r="D17" s="6" t="inlineStr">
        <is>
          <t>% of Portfolio ECL</t>
        </is>
      </c>
      <c r="E17" s="6" t="inlineStr">
        <is>
          <t>Effective LGD</t>
        </is>
      </c>
    </row>
    <row r="18" ht="20" customHeight="1">
      <c r="A18" s="31" t="inlineStr">
        <is>
          <t>Stage 1</t>
        </is>
      </c>
      <c r="B18" s="58" t="n">
        <v>337.3</v>
      </c>
      <c r="C18" s="59" t="n">
        <v>3.46</v>
      </c>
      <c r="D18" s="60" t="n">
        <v>0.204</v>
      </c>
      <c r="E18" s="60" t="n">
        <v>0.45</v>
      </c>
    </row>
    <row r="19" ht="20" customHeight="1">
      <c r="A19" s="32" t="inlineStr">
        <is>
          <t>Stage 2</t>
        </is>
      </c>
      <c r="B19" s="61" t="n">
        <v>97.3</v>
      </c>
      <c r="C19" s="62" t="n">
        <v>5.5</v>
      </c>
      <c r="D19" s="63" t="n">
        <v>0.324</v>
      </c>
      <c r="E19" s="63" t="n">
        <v>0.45</v>
      </c>
    </row>
    <row r="20" ht="20" customHeight="1">
      <c r="A20" s="24" t="inlineStr">
        <is>
          <t>Stage 3</t>
        </is>
      </c>
      <c r="B20" s="64" t="n">
        <v>56.3</v>
      </c>
      <c r="C20" s="65" t="n">
        <v>8</v>
      </c>
      <c r="D20" s="66" t="n">
        <v>0.472</v>
      </c>
      <c r="E20" s="66" t="n">
        <v>0.45</v>
      </c>
    </row>
    <row r="22">
      <c r="A22" s="14" t="inlineStr">
        <is>
          <t>Sources: mockPortfolioData.ts MOCK_PROVISIONS (EAD, PD, LGD, ECL) | Scenario weights: Base 60%, Adverse 25%, Upside 15% (seed_demo.py TMPL-001/002/003) | ECL = PD × LGD × EAD | Lifetime PD = 12m PD × 3× (S2) or 0.85 (S3) | LGD = 45% flat | Discount rate = 5.75%</t>
        </is>
      </c>
    </row>
  </sheetData>
  <mergeCells count="3">
    <mergeCell ref="A22:R22"/>
    <mergeCell ref="A1:R1"/>
    <mergeCell ref="D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0" customWidth="1" min="4" max="4"/>
    <col width="18" customWidth="1" min="5" max="5"/>
    <col width="13" customWidth="1" min="6" max="6"/>
    <col width="16" customWidth="1" min="7" max="7"/>
    <col width="10" customWidth="1" min="8" max="8"/>
    <col width="14" customWidth="1" min="9" max="9"/>
    <col width="16" customWidth="1" min="10" max="10"/>
    <col width="12" customWidth="1" min="11" max="11"/>
    <col width="26" customWidth="1" min="12" max="12"/>
    <col width="13" customWidth="1" min="13" max="13"/>
  </cols>
  <sheetData>
    <row r="1" ht="26" customHeight="1">
      <c r="A1" s="10" t="inlineStr">
        <is>
          <t>SICR EVALUATION MATRIX  |  Thresholds: DPD ≥ 30 days  |  Rating ≥ 2 notches down  |  Country watchlist  |  Insolvency filing</t>
        </is>
      </c>
    </row>
    <row r="2" ht="18" customHeight="1">
      <c r="A2" s="45" t="inlineStr">
        <is>
          <t>Config:</t>
        </is>
      </c>
      <c r="B2" s="45" t="inlineStr">
        <is>
          <t>DPD Enabled:</t>
        </is>
      </c>
      <c r="C2" s="67" t="inlineStr">
        <is>
          <t>Yes</t>
        </is>
      </c>
      <c r="D2" s="45" t="inlineStr">
        <is>
          <t>DPD Threshold:</t>
        </is>
      </c>
      <c r="E2" s="67" t="inlineStr">
        <is>
          <t>30 days</t>
        </is>
      </c>
      <c r="F2" s="45" t="inlineStr">
        <is>
          <t>Rating Notches:</t>
        </is>
      </c>
      <c r="G2" s="67" t="inlineStr">
        <is>
          <t>≥ 2</t>
        </is>
      </c>
      <c r="H2" s="45" t="inlineStr">
        <is>
          <t>Country WL:</t>
        </is>
      </c>
      <c r="I2" s="67" t="inlineStr">
        <is>
          <t>Yes</t>
        </is>
      </c>
      <c r="J2" s="45" t="inlineStr">
        <is>
          <t>Insolvency:</t>
        </is>
      </c>
      <c r="K2" s="67" t="inlineStr">
        <is>
          <t>Yes</t>
        </is>
      </c>
      <c r="L2" s="45" t="inlineStr">
        <is>
          <t>Upgrade Threshold:</t>
        </is>
      </c>
      <c r="M2" s="67" t="inlineStr">
        <is>
          <t>2 notches</t>
        </is>
      </c>
    </row>
    <row r="3" ht="28" customHeight="1">
      <c r="A3" s="6" t="inlineStr">
        <is>
          <t>Lessee</t>
        </is>
      </c>
      <c r="B3" s="6" t="inlineStr">
        <is>
          <t>Current Stage</t>
        </is>
      </c>
      <c r="C3" s="6" t="inlineStr">
        <is>
          <t>DPD (days)</t>
        </is>
      </c>
      <c r="D3" s="6" t="inlineStr">
        <is>
          <t>DPD Trigger</t>
        </is>
      </c>
      <c r="E3" s="6" t="inlineStr">
        <is>
          <t>Rating Notches Down</t>
        </is>
      </c>
      <c r="F3" s="6" t="inlineStr">
        <is>
          <t>Rating Trigger</t>
        </is>
      </c>
      <c r="G3" s="6" t="inlineStr">
        <is>
          <t>Country Watchlist</t>
        </is>
      </c>
      <c r="H3" s="6" t="inlineStr">
        <is>
          <t>CWL Trigger</t>
        </is>
      </c>
      <c r="I3" s="6" t="inlineStr">
        <is>
          <t>Insolvency Filed</t>
        </is>
      </c>
      <c r="J3" s="6" t="inlineStr">
        <is>
          <t>Insolvency Trigger</t>
        </is>
      </c>
      <c r="K3" s="6" t="inlineStr">
        <is>
          <t>SICR Result</t>
        </is>
      </c>
      <c r="L3" s="6" t="inlineStr">
        <is>
          <t>Recommended Action</t>
        </is>
      </c>
      <c r="M3" s="6" t="inlineStr">
        <is>
          <t>ECL Delta ($M)</t>
        </is>
      </c>
    </row>
    <row r="4" ht="22" customHeight="1">
      <c r="A4" s="28" t="inlineStr">
        <is>
          <t>IndiGo Airlines</t>
        </is>
      </c>
      <c r="B4" s="24" t="inlineStr">
        <is>
          <t>Stage 3</t>
        </is>
      </c>
      <c r="C4" s="27" t="n">
        <v>47</v>
      </c>
      <c r="D4" s="32" t="inlineStr">
        <is>
          <t>Yes</t>
        </is>
      </c>
      <c r="E4" s="27" t="n">
        <v>1</v>
      </c>
      <c r="F4" s="27" t="inlineStr">
        <is>
          <t>—</t>
        </is>
      </c>
      <c r="G4" s="27" t="inlineStr">
        <is>
          <t>Yes</t>
        </is>
      </c>
      <c r="H4" s="32" t="inlineStr">
        <is>
          <t>Yes</t>
        </is>
      </c>
      <c r="I4" s="27" t="inlineStr">
        <is>
          <t>—</t>
        </is>
      </c>
      <c r="J4" s="27" t="inlineStr">
        <is>
          <t>—</t>
        </is>
      </c>
      <c r="K4" s="24" t="inlineStr">
        <is>
          <t>SICR — Active</t>
        </is>
      </c>
      <c r="L4" s="28" t="inlineStr">
        <is>
          <t>Maintain Stage 3</t>
        </is>
      </c>
      <c r="M4" s="68" t="n">
        <v>0.74</v>
      </c>
    </row>
    <row r="5" ht="22" customHeight="1">
      <c r="A5" s="23" t="inlineStr">
        <is>
          <t>Aeromexico</t>
        </is>
      </c>
      <c r="B5" s="24" t="inlineStr">
        <is>
          <t>Stage 3</t>
        </is>
      </c>
      <c r="C5" s="22" t="n">
        <v>89</v>
      </c>
      <c r="D5" s="32" t="inlineStr">
        <is>
          <t>Yes</t>
        </is>
      </c>
      <c r="E5" s="22" t="n">
        <v>3</v>
      </c>
      <c r="F5" s="32" t="inlineStr">
        <is>
          <t>Yes</t>
        </is>
      </c>
      <c r="G5" s="22" t="inlineStr">
        <is>
          <t>—</t>
        </is>
      </c>
      <c r="H5" s="22" t="inlineStr">
        <is>
          <t>—</t>
        </is>
      </c>
      <c r="I5" s="22" t="inlineStr">
        <is>
          <t>Yes</t>
        </is>
      </c>
      <c r="J5" s="32" t="inlineStr">
        <is>
          <t>Yes</t>
        </is>
      </c>
      <c r="K5" s="24" t="inlineStr">
        <is>
          <t>SICR — Active</t>
        </is>
      </c>
      <c r="L5" s="23" t="inlineStr">
        <is>
          <t>Maintain Stage 3</t>
        </is>
      </c>
      <c r="M5" s="69" t="n">
        <v>1.91</v>
      </c>
    </row>
    <row r="6" ht="22" customHeight="1">
      <c r="A6" s="28" t="inlineStr">
        <is>
          <t>Emirates</t>
        </is>
      </c>
      <c r="B6" s="31" t="inlineStr">
        <is>
          <t>Stage 1</t>
        </is>
      </c>
      <c r="C6" s="27" t="n">
        <v>0</v>
      </c>
      <c r="D6" s="27" t="inlineStr">
        <is>
          <t>—</t>
        </is>
      </c>
      <c r="E6" s="27" t="n">
        <v>0</v>
      </c>
      <c r="F6" s="27" t="inlineStr">
        <is>
          <t>—</t>
        </is>
      </c>
      <c r="G6" s="27" t="inlineStr">
        <is>
          <t>—</t>
        </is>
      </c>
      <c r="H6" s="27" t="inlineStr">
        <is>
          <t>—</t>
        </is>
      </c>
      <c r="I6" s="27" t="inlineStr">
        <is>
          <t>—</t>
        </is>
      </c>
      <c r="J6" s="27" t="inlineStr">
        <is>
          <t>—</t>
        </is>
      </c>
      <c r="K6" s="31" t="inlineStr">
        <is>
          <t>No SICR</t>
        </is>
      </c>
      <c r="L6" s="28" t="inlineStr">
        <is>
          <t>Maintain Stage 1</t>
        </is>
      </c>
      <c r="M6" s="47" t="n">
        <v>0</v>
      </c>
    </row>
    <row r="7" ht="22" customHeight="1">
      <c r="A7" s="23" t="inlineStr">
        <is>
          <t>SriLankan Airlines</t>
        </is>
      </c>
      <c r="B7" s="32" t="inlineStr">
        <is>
          <t>Stage 2</t>
        </is>
      </c>
      <c r="C7" s="22" t="n">
        <v>12</v>
      </c>
      <c r="D7" s="22" t="inlineStr">
        <is>
          <t>—</t>
        </is>
      </c>
      <c r="E7" s="22" t="n">
        <v>2</v>
      </c>
      <c r="F7" s="32" t="inlineStr">
        <is>
          <t>Yes</t>
        </is>
      </c>
      <c r="G7" s="22" t="inlineStr">
        <is>
          <t>Yes</t>
        </is>
      </c>
      <c r="H7" s="32" t="inlineStr">
        <is>
          <t>Yes</t>
        </is>
      </c>
      <c r="I7" s="22" t="inlineStr">
        <is>
          <t>—</t>
        </is>
      </c>
      <c r="J7" s="22" t="inlineStr">
        <is>
          <t>—</t>
        </is>
      </c>
      <c r="K7" s="24" t="inlineStr">
        <is>
          <t>SICR — Active</t>
        </is>
      </c>
      <c r="L7" s="23" t="inlineStr">
        <is>
          <t>Maintain Stage 2</t>
        </is>
      </c>
      <c r="M7" s="69" t="n">
        <v>0.35</v>
      </c>
    </row>
    <row r="8" ht="22" customHeight="1">
      <c r="A8" s="28" t="inlineStr">
        <is>
          <t>Ryanair</t>
        </is>
      </c>
      <c r="B8" s="31" t="inlineStr">
        <is>
          <t>Stage 1</t>
        </is>
      </c>
      <c r="C8" s="27" t="n">
        <v>32</v>
      </c>
      <c r="D8" s="32" t="inlineStr">
        <is>
          <t>Yes</t>
        </is>
      </c>
      <c r="E8" s="27" t="n">
        <v>0</v>
      </c>
      <c r="F8" s="27" t="inlineStr">
        <is>
          <t>—</t>
        </is>
      </c>
      <c r="G8" s="27" t="inlineStr">
        <is>
          <t>—</t>
        </is>
      </c>
      <c r="H8" s="27" t="inlineStr">
        <is>
          <t>—</t>
        </is>
      </c>
      <c r="I8" s="27" t="inlineStr">
        <is>
          <t>—</t>
        </is>
      </c>
      <c r="J8" s="27" t="inlineStr">
        <is>
          <t>—</t>
        </is>
      </c>
      <c r="K8" s="32" t="inlineStr">
        <is>
          <t>SICR — Alert</t>
        </is>
      </c>
      <c r="L8" s="28" t="inlineStr">
        <is>
          <t>Recommend S1 → S2 migration</t>
        </is>
      </c>
      <c r="M8" s="68" t="n">
        <v>0.18</v>
      </c>
    </row>
    <row r="9" ht="22" customHeight="1">
      <c r="A9" s="23" t="inlineStr">
        <is>
          <t>Air France</t>
        </is>
      </c>
      <c r="B9" s="31" t="inlineStr">
        <is>
          <t>Stage 1</t>
        </is>
      </c>
      <c r="C9" s="22" t="n">
        <v>0</v>
      </c>
      <c r="D9" s="22" t="inlineStr">
        <is>
          <t>—</t>
        </is>
      </c>
      <c r="E9" s="22" t="n">
        <v>2</v>
      </c>
      <c r="F9" s="32" t="inlineStr">
        <is>
          <t>Yes</t>
        </is>
      </c>
      <c r="G9" s="22" t="inlineStr">
        <is>
          <t>—</t>
        </is>
      </c>
      <c r="H9" s="22" t="inlineStr">
        <is>
          <t>—</t>
        </is>
      </c>
      <c r="I9" s="22" t="inlineStr">
        <is>
          <t>—</t>
        </is>
      </c>
      <c r="J9" s="22" t="inlineStr">
        <is>
          <t>—</t>
        </is>
      </c>
      <c r="K9" s="32" t="inlineStr">
        <is>
          <t>SICR — Alert</t>
        </is>
      </c>
      <c r="L9" s="23" t="inlineStr">
        <is>
          <t>Recommend S1 → S2 migration</t>
        </is>
      </c>
      <c r="M9" s="69" t="n">
        <v>0.29</v>
      </c>
    </row>
    <row r="10" ht="22" customHeight="1">
      <c r="A10" s="28" t="inlineStr">
        <is>
          <t>Azul Braz. Airlines</t>
        </is>
      </c>
      <c r="B10" s="32" t="inlineStr">
        <is>
          <t>Stage 2</t>
        </is>
      </c>
      <c r="C10" s="27" t="n">
        <v>38</v>
      </c>
      <c r="D10" s="32" t="inlineStr">
        <is>
          <t>Yes</t>
        </is>
      </c>
      <c r="E10" s="27" t="n">
        <v>1</v>
      </c>
      <c r="F10" s="27" t="inlineStr">
        <is>
          <t>—</t>
        </is>
      </c>
      <c r="G10" s="27" t="inlineStr">
        <is>
          <t>—</t>
        </is>
      </c>
      <c r="H10" s="27" t="inlineStr">
        <is>
          <t>—</t>
        </is>
      </c>
      <c r="I10" s="27" t="inlineStr">
        <is>
          <t>—</t>
        </is>
      </c>
      <c r="J10" s="27" t="inlineStr">
        <is>
          <t>—</t>
        </is>
      </c>
      <c r="K10" s="24" t="inlineStr">
        <is>
          <t>SICR — Active</t>
        </is>
      </c>
      <c r="L10" s="28" t="inlineStr">
        <is>
          <t>Maintain Stage 2</t>
        </is>
      </c>
      <c r="M10" s="47" t="n">
        <v>0</v>
      </c>
    </row>
    <row r="11" ht="22" customHeight="1">
      <c r="A11" s="23" t="inlineStr">
        <is>
          <t>Air Transat</t>
        </is>
      </c>
      <c r="B11" s="32" t="inlineStr">
        <is>
          <t>Stage 2</t>
        </is>
      </c>
      <c r="C11" s="22" t="n">
        <v>35</v>
      </c>
      <c r="D11" s="32" t="inlineStr">
        <is>
          <t>Yes</t>
        </is>
      </c>
      <c r="E11" s="22" t="n">
        <v>0</v>
      </c>
      <c r="F11" s="22" t="inlineStr">
        <is>
          <t>—</t>
        </is>
      </c>
      <c r="G11" s="22" t="inlineStr">
        <is>
          <t>—</t>
        </is>
      </c>
      <c r="H11" s="22" t="inlineStr">
        <is>
          <t>—</t>
        </is>
      </c>
      <c r="I11" s="22" t="inlineStr">
        <is>
          <t>—</t>
        </is>
      </c>
      <c r="J11" s="22" t="inlineStr">
        <is>
          <t>—</t>
        </is>
      </c>
      <c r="K11" s="24" t="inlineStr">
        <is>
          <t>SICR — Active</t>
        </is>
      </c>
      <c r="L11" s="23" t="inlineStr">
        <is>
          <t>Maintain Stage 2</t>
        </is>
      </c>
      <c r="M11" s="50" t="n">
        <v>0</v>
      </c>
    </row>
    <row r="12" ht="22" customHeight="1">
      <c r="A12" s="28" t="inlineStr">
        <is>
          <t>Singapore Airlines</t>
        </is>
      </c>
      <c r="B12" s="31" t="inlineStr">
        <is>
          <t>Stage 1</t>
        </is>
      </c>
      <c r="C12" s="27" t="n">
        <v>0</v>
      </c>
      <c r="D12" s="27" t="inlineStr">
        <is>
          <t>—</t>
        </is>
      </c>
      <c r="E12" s="27" t="n">
        <v>0</v>
      </c>
      <c r="F12" s="27" t="inlineStr">
        <is>
          <t>—</t>
        </is>
      </c>
      <c r="G12" s="27" t="inlineStr">
        <is>
          <t>—</t>
        </is>
      </c>
      <c r="H12" s="27" t="inlineStr">
        <is>
          <t>—</t>
        </is>
      </c>
      <c r="I12" s="27" t="inlineStr">
        <is>
          <t>—</t>
        </is>
      </c>
      <c r="J12" s="27" t="inlineStr">
        <is>
          <t>—</t>
        </is>
      </c>
      <c r="K12" s="31" t="inlineStr">
        <is>
          <t>No SICR</t>
        </is>
      </c>
      <c r="L12" s="28" t="inlineStr">
        <is>
          <t>Maintain Stage 1</t>
        </is>
      </c>
      <c r="M12" s="47" t="n">
        <v>0</v>
      </c>
    </row>
    <row r="13" ht="22" customHeight="1">
      <c r="A13" s="23" t="inlineStr">
        <is>
          <t>Lufthansa</t>
        </is>
      </c>
      <c r="B13" s="31" t="inlineStr">
        <is>
          <t>Stage 1</t>
        </is>
      </c>
      <c r="C13" s="22" t="n">
        <v>0</v>
      </c>
      <c r="D13" s="22" t="inlineStr">
        <is>
          <t>—</t>
        </is>
      </c>
      <c r="E13" s="22" t="n">
        <v>0</v>
      </c>
      <c r="F13" s="22" t="inlineStr">
        <is>
          <t>—</t>
        </is>
      </c>
      <c r="G13" s="22" t="inlineStr">
        <is>
          <t>—</t>
        </is>
      </c>
      <c r="H13" s="22" t="inlineStr">
        <is>
          <t>—</t>
        </is>
      </c>
      <c r="I13" s="22" t="inlineStr">
        <is>
          <t>—</t>
        </is>
      </c>
      <c r="J13" s="22" t="inlineStr">
        <is>
          <t>—</t>
        </is>
      </c>
      <c r="K13" s="31" t="inlineStr">
        <is>
          <t>No SICR</t>
        </is>
      </c>
      <c r="L13" s="23" t="inlineStr">
        <is>
          <t>Maintain Stage 1</t>
        </is>
      </c>
      <c r="M13" s="50" t="n">
        <v>0</v>
      </c>
    </row>
    <row r="15">
      <c r="A15" s="14" t="inlineStr">
        <is>
          <t>Sources: seed_demo.py SICRConfig (dpd_days=30, upgrade_notches=2) | mockPortfolioData.ts MOCK_SICR_DATA | ECL Delta from StageMigrationTab.tsx migration events | sicrEvaluator.ts classification logic</t>
        </is>
      </c>
    </row>
  </sheetData>
  <mergeCells count="2">
    <mergeCell ref="A1:P1"/>
    <mergeCell ref="A15:M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6" customWidth="1" min="9" max="9"/>
    <col width="15" customWidth="1" min="10" max="10"/>
  </cols>
  <sheetData>
    <row r="1" ht="26" customHeight="1">
      <c r="A1" s="10" t="inlineStr">
        <is>
          <t>STRESS SCENARIOS  |  Base ECL = $47.2M  |  ECL = f(macro shock, deferral, mitigation, LGD regime)</t>
        </is>
      </c>
    </row>
    <row r="2" ht="20" customHeight="1">
      <c r="A2" s="10" t="inlineStr">
        <is>
          <t>A. MACRO SCENARIO INPUTS</t>
        </is>
      </c>
    </row>
    <row r="3" ht="26" customHeight="1">
      <c r="A3" s="6" t="inlineStr">
        <is>
          <t>Parameter</t>
        </is>
      </c>
      <c r="B3" s="6" t="inlineStr">
        <is>
          <t>Baseline Q1 2026</t>
        </is>
      </c>
      <c r="C3" s="6" t="inlineStr">
        <is>
          <t>Adverse — Fuel Spike +40%</t>
        </is>
      </c>
      <c r="D3" s="6" t="inlineStr">
        <is>
          <t>Severe — Global Recession</t>
        </is>
      </c>
      <c r="E3" s="6" t="inlineStr">
        <is>
          <t>Units / Notes</t>
        </is>
      </c>
    </row>
    <row r="4" ht="20" customHeight="1">
      <c r="A4" s="28" t="inlineStr">
        <is>
          <t>Scenario Weight</t>
        </is>
      </c>
      <c r="B4" s="27" t="inlineStr">
        <is>
          <t>60%</t>
        </is>
      </c>
      <c r="C4" s="27" t="inlineStr">
        <is>
          <t>25%</t>
        </is>
      </c>
      <c r="D4" s="27" t="inlineStr">
        <is>
          <t>15%</t>
        </is>
      </c>
      <c r="E4" s="28" t="inlineStr">
        <is>
          <t>Probability weights; sum = 100%</t>
        </is>
      </c>
    </row>
    <row r="5" ht="20" customHeight="1">
      <c r="A5" s="23" t="inlineStr">
        <is>
          <t>GDP Shock (Δ%)</t>
        </is>
      </c>
      <c r="B5" s="22" t="inlineStr">
        <is>
          <t>0.0%</t>
        </is>
      </c>
      <c r="C5" s="22" t="inlineStr">
        <is>
          <t>-1.0%</t>
        </is>
      </c>
      <c r="D5" s="22" t="inlineStr">
        <is>
          <t>-3.0%</t>
        </is>
      </c>
      <c r="E5" s="23" t="inlineStr">
        <is>
          <t>YoY change in real GDP growth vs consensus</t>
        </is>
      </c>
    </row>
    <row r="6" ht="20" customHeight="1">
      <c r="A6" s="28" t="inlineStr">
        <is>
          <t>RPK Growth (Δ%)</t>
        </is>
      </c>
      <c r="B6" s="27" t="inlineStr">
        <is>
          <t>+4.5%</t>
        </is>
      </c>
      <c r="C6" s="27" t="inlineStr">
        <is>
          <t>-12.0%</t>
        </is>
      </c>
      <c r="D6" s="27" t="inlineStr">
        <is>
          <t>-25.0%</t>
        </is>
      </c>
      <c r="E6" s="28" t="inlineStr">
        <is>
          <t>Revenue passenger kilometres — lessor revenue proxy</t>
        </is>
      </c>
    </row>
    <row r="7" ht="20" customHeight="1">
      <c r="A7" s="23" t="inlineStr">
        <is>
          <t>Fuel Delta (Δ%)</t>
        </is>
      </c>
      <c r="B7" s="22" t="inlineStr">
        <is>
          <t>0.0%</t>
        </is>
      </c>
      <c r="C7" s="22" t="inlineStr">
        <is>
          <t>+40.0%</t>
        </is>
      </c>
      <c r="D7" s="22" t="inlineStr">
        <is>
          <t>+20.0%</t>
        </is>
      </c>
      <c r="E7" s="23" t="inlineStr">
        <is>
          <t>Brent/WTI sustained 12-month shock vs $80/bbl base</t>
        </is>
      </c>
    </row>
    <row r="8" ht="20" customHeight="1">
      <c r="A8" s="28" t="inlineStr">
        <is>
          <t>EM FX Stress (Δ%)</t>
        </is>
      </c>
      <c r="B8" s="27" t="inlineStr">
        <is>
          <t>0.0%</t>
        </is>
      </c>
      <c r="C8" s="27" t="inlineStr">
        <is>
          <t>-5.0%</t>
        </is>
      </c>
      <c r="D8" s="27" t="inlineStr">
        <is>
          <t>-15.0%</t>
        </is>
      </c>
      <c r="E8" s="28" t="inlineStr">
        <is>
          <t>EM currency basket depreciation vs USD</t>
        </is>
      </c>
    </row>
    <row r="9" ht="20" customHeight="1">
      <c r="A9" s="23" t="inlineStr">
        <is>
          <t>Rate Rise (Δ bps)</t>
        </is>
      </c>
      <c r="B9" s="22" t="inlineStr">
        <is>
          <t>0</t>
        </is>
      </c>
      <c r="C9" s="22" t="inlineStr">
        <is>
          <t>0</t>
        </is>
      </c>
      <c r="D9" s="22" t="inlineStr">
        <is>
          <t>0</t>
        </is>
      </c>
      <c r="E9" s="23" t="inlineStr">
        <is>
          <t>Risk-free rate parallel shift (not in templates)</t>
        </is>
      </c>
    </row>
    <row r="10" ht="20" customHeight="1">
      <c r="A10" s="28" t="inlineStr">
        <is>
          <t>Asset Value Shock (Δ%)</t>
        </is>
      </c>
      <c r="B10" s="27" t="inlineStr">
        <is>
          <t>0.0%</t>
        </is>
      </c>
      <c r="C10" s="27" t="inlineStr">
        <is>
          <t>0.0%</t>
        </is>
      </c>
      <c r="D10" s="27" t="inlineStr">
        <is>
          <t>-8.0%</t>
        </is>
      </c>
      <c r="E10" s="28" t="inlineStr">
        <is>
          <t>Portfolio MV decline; affects LGD recovery</t>
        </is>
      </c>
    </row>
    <row r="11" ht="20" customHeight="1">
      <c r="A11" s="23" t="inlineStr">
        <is>
          <t>PD Stage 2 Multiplier</t>
        </is>
      </c>
      <c r="B11" s="22" t="inlineStr">
        <is>
          <t>1.0×</t>
        </is>
      </c>
      <c r="C11" s="22" t="inlineStr">
        <is>
          <t>1.4×</t>
        </is>
      </c>
      <c r="D11" s="22" t="inlineStr">
        <is>
          <t>1.8×</t>
        </is>
      </c>
      <c r="E11" s="23" t="inlineStr">
        <is>
          <t>Scales S2 PD estimates from baseline</t>
        </is>
      </c>
    </row>
    <row r="12" ht="20" customHeight="1">
      <c r="A12" s="28" t="inlineStr">
        <is>
          <t>PD Stage 3 Multiplier</t>
        </is>
      </c>
      <c r="B12" s="27" t="inlineStr">
        <is>
          <t>1.0×</t>
        </is>
      </c>
      <c r="C12" s="27" t="inlineStr">
        <is>
          <t>1.2×</t>
        </is>
      </c>
      <c r="D12" s="27" t="inlineStr">
        <is>
          <t>1.6×</t>
        </is>
      </c>
      <c r="E12" s="28" t="inlineStr">
        <is>
          <t>Scales S3 PD estimates from baseline</t>
        </is>
      </c>
    </row>
    <row r="13" ht="20" customHeight="1">
      <c r="A13" s="23" t="inlineStr">
        <is>
          <t>Deferral Months</t>
        </is>
      </c>
      <c r="B13" s="22" t="inlineStr">
        <is>
          <t>0</t>
        </is>
      </c>
      <c r="C13" s="22" t="inlineStr">
        <is>
          <t>3</t>
        </is>
      </c>
      <c r="D13" s="22" t="inlineStr">
        <is>
          <t>9</t>
        </is>
      </c>
      <c r="E13" s="23" t="inlineStr">
        <is>
          <t>Fleet-average months of rent deferred</t>
        </is>
      </c>
    </row>
    <row r="14" ht="20" customHeight="1">
      <c r="A14" s="28" t="inlineStr">
        <is>
          <t>Govt Support Probability</t>
        </is>
      </c>
      <c r="B14" s="27" t="inlineStr">
        <is>
          <t>0.0%</t>
        </is>
      </c>
      <c r="C14" s="27" t="inlineStr">
        <is>
          <t>10.0%</t>
        </is>
      </c>
      <c r="D14" s="27" t="inlineStr">
        <is>
          <t>20.0%</t>
        </is>
      </c>
      <c r="E14" s="28" t="inlineStr">
        <is>
          <t>Prob. government backstops deferred rent</t>
        </is>
      </c>
    </row>
    <row r="15" ht="20" customHeight="1">
      <c r="A15" s="23" t="inlineStr">
        <is>
          <t>Forgiveness Rate</t>
        </is>
      </c>
      <c r="B15" s="22" t="inlineStr">
        <is>
          <t>0.0%</t>
        </is>
      </c>
      <c r="C15" s="22" t="inlineStr">
        <is>
          <t>10.0%</t>
        </is>
      </c>
      <c r="D15" s="22" t="inlineStr">
        <is>
          <t>40.0%</t>
        </is>
      </c>
      <c r="E15" s="23" t="inlineStr">
        <is>
          <t>% of deferred rent permanently written off</t>
        </is>
      </c>
    </row>
    <row r="17" ht="20" customHeight="1">
      <c r="A17" s="10" t="inlineStr">
        <is>
          <t>B. RESTRUCTURING PRESETS</t>
        </is>
      </c>
    </row>
    <row r="18" ht="26" customHeight="1">
      <c r="A18" s="6" t="inlineStr">
        <is>
          <t>Preset</t>
        </is>
      </c>
      <c r="B18" s="6" t="inlineStr">
        <is>
          <t>Deferral (mo)</t>
        </is>
      </c>
      <c r="C18" s="6" t="inlineStr">
        <is>
          <t>Govt Support</t>
        </is>
      </c>
      <c r="D18" s="6" t="inlineStr">
        <is>
          <t>Forgiveness Rate</t>
        </is>
      </c>
      <c r="E18" s="6" t="inlineStr">
        <is>
          <t>Description</t>
        </is>
      </c>
    </row>
    <row r="19" ht="22" customHeight="1">
      <c r="A19" s="23" t="inlineStr">
        <is>
          <t>Standstill Agreement</t>
        </is>
      </c>
      <c r="B19" s="22" t="n">
        <v>6</v>
      </c>
      <c r="C19" s="22" t="inlineStr">
        <is>
          <t>10%</t>
        </is>
      </c>
      <c r="D19" s="22" t="inlineStr">
        <is>
          <t>0%</t>
        </is>
      </c>
      <c r="E19" s="23" t="inlineStr">
        <is>
          <t>Temporary halt; full repayment expected — forgivenessRate=0 → $0 ECL impact (IFRS 9 excludes TVM modification loss)</t>
        </is>
      </c>
    </row>
    <row r="20" ht="22" customHeight="1">
      <c r="A20" s="28" t="inlineStr">
        <is>
          <t>Rent Reduction</t>
        </is>
      </c>
      <c r="B20" s="27" t="n">
        <v>12</v>
      </c>
      <c r="C20" s="27" t="inlineStr">
        <is>
          <t>20%</t>
        </is>
      </c>
      <c r="D20" s="27" t="inlineStr">
        <is>
          <t>35%</t>
        </is>
      </c>
      <c r="E20" s="28" t="inlineStr">
        <is>
          <t>Permanent partial rent write-down; 35% forgiven after 20% govt backstop</t>
        </is>
      </c>
    </row>
    <row r="21" ht="22" customHeight="1">
      <c r="A21" s="23" t="inlineStr">
        <is>
          <t>Equity-for-Debt</t>
        </is>
      </c>
      <c r="B21" s="22" t="n">
        <v>18</v>
      </c>
      <c r="C21" s="22" t="inlineStr">
        <is>
          <t>30%</t>
        </is>
      </c>
      <c r="D21" s="22" t="inlineStr">
        <is>
          <t>60%</t>
        </is>
      </c>
      <c r="E21" s="23" t="inlineStr">
        <is>
          <t>Deferred rent converted to equity; 60% treated as write-off at lessor-discount</t>
        </is>
      </c>
    </row>
    <row r="22" ht="22" customHeight="1">
      <c r="A22" s="28" t="inlineStr">
        <is>
          <t>Full Write-off</t>
        </is>
      </c>
      <c r="B22" s="27" t="n">
        <v>24</v>
      </c>
      <c r="C22" s="27" t="inlineStr">
        <is>
          <t>0%</t>
        </is>
      </c>
      <c r="D22" s="27" t="inlineStr">
        <is>
          <t>100%</t>
        </is>
      </c>
      <c r="E22" s="28" t="inlineStr">
        <is>
          <t>Complete loss crystallisation; all deferred rent permanently written off</t>
        </is>
      </c>
    </row>
    <row r="24" ht="20" customHeight="1">
      <c r="A24" s="10" t="inlineStr">
        <is>
          <t>C. ECL OUTPUTS (Base Portfolio ECL = $47.2M)</t>
        </is>
      </c>
    </row>
    <row r="25" ht="26" customHeight="1">
      <c r="A25" s="6" t="inlineStr">
        <is>
          <t>Scenario</t>
        </is>
      </c>
      <c r="B25" s="6" t="inlineStr">
        <is>
          <t>Mode</t>
        </is>
      </c>
      <c r="C25" s="6" t="inlineStr">
        <is>
          <t>ECL P50 ($M)</t>
        </is>
      </c>
      <c r="D25" s="6" t="inlineStr">
        <is>
          <t>ECL P5 ($M)</t>
        </is>
      </c>
      <c r="E25" s="6" t="inlineStr">
        <is>
          <t>ECL P95 ($M)</t>
        </is>
      </c>
      <c r="F25" s="6" t="inlineStr">
        <is>
          <t>Stage 1 ($M)</t>
        </is>
      </c>
      <c r="G25" s="6" t="inlineStr">
        <is>
          <t>Stage 2 ($M)</t>
        </is>
      </c>
      <c r="H25" s="6" t="inlineStr">
        <is>
          <t>Stage 3 ($M)</t>
        </is>
      </c>
      <c r="I25" s="6" t="inlineStr">
        <is>
          <t>vs Baseline ($M)</t>
        </is>
      </c>
      <c r="J25" s="6" t="inlineStr">
        <is>
          <t>vs Baseline (%)</t>
        </is>
      </c>
    </row>
    <row r="26" ht="22" customHeight="1">
      <c r="A26" s="28" t="inlineStr">
        <is>
          <t>Baseline Q1 2026</t>
        </is>
      </c>
      <c r="B26" s="27" t="inlineStr">
        <is>
          <t>Deterministic</t>
        </is>
      </c>
      <c r="C26" s="29" t="n">
        <v>47.2</v>
      </c>
      <c r="D26" s="27" t="inlineStr">
        <is>
          <t>—</t>
        </is>
      </c>
      <c r="E26" s="27" t="inlineStr">
        <is>
          <t>—</t>
        </is>
      </c>
      <c r="F26" s="29" t="n">
        <v>8.4</v>
      </c>
      <c r="G26" s="29" t="n">
        <v>15.1</v>
      </c>
      <c r="H26" s="29" t="n">
        <v>23.7</v>
      </c>
      <c r="I26" s="29" t="n">
        <v>0</v>
      </c>
      <c r="J26" s="38" t="n">
        <v>0</v>
      </c>
    </row>
    <row r="27" ht="22" customHeight="1">
      <c r="A27" s="23" t="inlineStr">
        <is>
          <t>Adverse — Fuel Spike +40%</t>
        </is>
      </c>
      <c r="B27" s="22" t="inlineStr">
        <is>
          <t>Deterministic</t>
        </is>
      </c>
      <c r="C27" s="25" t="n">
        <v>67.40000000000001</v>
      </c>
      <c r="D27" s="22" t="inlineStr">
        <is>
          <t>—</t>
        </is>
      </c>
      <c r="E27" s="22" t="inlineStr">
        <is>
          <t>—</t>
        </is>
      </c>
      <c r="F27" s="25" t="n">
        <v>7.1</v>
      </c>
      <c r="G27" s="25" t="n">
        <v>18.6</v>
      </c>
      <c r="H27" s="25" t="n">
        <v>41.7</v>
      </c>
      <c r="I27" s="70" t="n">
        <v>20.2</v>
      </c>
      <c r="J27" s="36" t="n">
        <v>0.428</v>
      </c>
    </row>
    <row r="28" ht="22" customHeight="1">
      <c r="A28" s="28" t="inlineStr">
        <is>
          <t>Severe — Global Recession</t>
        </is>
      </c>
      <c r="B28" s="27" t="inlineStr">
        <is>
          <t>Deterministic</t>
        </is>
      </c>
      <c r="C28" s="29" t="n">
        <v>89.09999999999999</v>
      </c>
      <c r="D28" s="27" t="inlineStr">
        <is>
          <t>—</t>
        </is>
      </c>
      <c r="E28" s="27" t="inlineStr">
        <is>
          <t>—</t>
        </is>
      </c>
      <c r="F28" s="29" t="n">
        <v>5.8</v>
      </c>
      <c r="G28" s="29" t="n">
        <v>22.4</v>
      </c>
      <c r="H28" s="29" t="n">
        <v>60.9</v>
      </c>
      <c r="I28" s="71" t="n">
        <v>41.9</v>
      </c>
      <c r="J28" s="38" t="n">
        <v>0.888</v>
      </c>
    </row>
    <row r="29" ht="22" customHeight="1">
      <c r="A29" s="23" t="inlineStr">
        <is>
          <t>Monte Carlo (10,000 paths)</t>
        </is>
      </c>
      <c r="B29" s="22" t="inlineStr">
        <is>
          <t>Monte Carlo</t>
        </is>
      </c>
      <c r="C29" s="25" t="n">
        <v>52.6</v>
      </c>
      <c r="D29" s="25" t="n">
        <v>31.4</v>
      </c>
      <c r="E29" s="25" t="n">
        <v>94.8</v>
      </c>
      <c r="F29" s="25" t="n">
        <v>8.1</v>
      </c>
      <c r="G29" s="25" t="n">
        <v>16.2</v>
      </c>
      <c r="H29" s="25" t="n">
        <v>28.3</v>
      </c>
      <c r="I29" s="70" t="n">
        <v>5.4</v>
      </c>
      <c r="J29" s="36" t="n">
        <v>0.114</v>
      </c>
    </row>
    <row r="31">
      <c r="A31" s="14" t="inlineStr">
        <is>
          <t>Sources: seed_demo.py ScenarioTemplate TMPL-001/002/003 | eclCalculator.ts computeECLFromBase() | BASE_ECL=$47.2M | MONTHLY_RENT_M=$2.85M | deferralRisk.ts RESTRUCTURING_TYPES | Monte Carlo: 10,000 paths, seed 42</t>
        </is>
      </c>
    </row>
  </sheetData>
  <mergeCells count="2">
    <mergeCell ref="A1:I1"/>
    <mergeCell ref="A31:J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16" customWidth="1" min="3" max="3"/>
    <col width="16" customWidth="1" min="4" max="4"/>
    <col width="9" customWidth="1" min="5" max="5"/>
    <col width="12" customWidth="1" min="6" max="6"/>
    <col width="18" customWidth="1" min="7" max="7"/>
    <col width="50" customWidth="1" min="8" max="8"/>
    <col width="10" customWidth="1" min="9" max="9"/>
    <col width="15" customWidth="1" min="10" max="10"/>
    <col width="15" customWidth="1" min="11" max="11"/>
    <col width="11" customWidth="1" min="12" max="12"/>
    <col width="11" customWidth="1" min="13" max="13"/>
    <col width="20" customWidth="1" min="14" max="14"/>
    <col width="15" customWidth="1" min="15" max="15"/>
    <col width="15" customWidth="1" min="16" max="16"/>
  </cols>
  <sheetData>
    <row r="1" ht="26" customHeight="1">
      <c r="A1" s="10" t="inlineStr">
        <is>
          <t>JURISDICTION LGD OVERLAYS  |  LGD Benchmark = 3-month US §1110 baseline  |  Calibrated to 12+ real lessor precedents</t>
        </is>
      </c>
    </row>
    <row r="2" ht="28" customHeight="1">
      <c r="A2" s="6" t="inlineStr">
        <is>
          <t>Code</t>
        </is>
      </c>
      <c r="B2" s="6" t="inlineStr">
        <is>
          <t>Jurisdiction</t>
        </is>
      </c>
      <c r="C2" s="6" t="inlineStr">
        <is>
          <t>Region</t>
        </is>
      </c>
      <c r="D2" s="6" t="inlineStr">
        <is>
          <t>CTC Party</t>
        </is>
      </c>
      <c r="E2" s="6" t="inlineStr">
        <is>
          <t>CTC Score</t>
        </is>
      </c>
      <c r="F2" s="6" t="inlineStr">
        <is>
          <t>Alt-A</t>
        </is>
      </c>
      <c r="G2" s="6" t="inlineStr">
        <is>
          <t>IDERA</t>
        </is>
      </c>
      <c r="H2" s="6" t="inlineStr">
        <is>
          <t>Enforceability</t>
        </is>
      </c>
      <c r="I2" s="6" t="inlineStr">
        <is>
          <t>Rule of Law</t>
        </is>
      </c>
      <c r="J2" s="6" t="inlineStr">
        <is>
          <t>P50 Reposs (mo)</t>
        </is>
      </c>
      <c r="K2" s="6" t="inlineStr">
        <is>
          <t>P90 Reposs (mo)</t>
        </is>
      </c>
      <c r="L2" s="6" t="inlineStr">
        <is>
          <t>P50 Cost (%)</t>
        </is>
      </c>
      <c r="M2" s="6" t="inlineStr">
        <is>
          <t>Success Prob</t>
        </is>
      </c>
      <c r="N2" s="6" t="inlineStr">
        <is>
          <t>LGD Delta vs US §1110</t>
        </is>
      </c>
      <c r="O2" s="6" t="inlineStr">
        <is>
          <t>Uncertainty Band</t>
        </is>
      </c>
      <c r="P2" s="6" t="inlineStr">
        <is>
          <t>Precedent Count</t>
        </is>
      </c>
    </row>
    <row r="3" ht="22" customHeight="1">
      <c r="A3" s="22" t="inlineStr">
        <is>
          <t>US</t>
        </is>
      </c>
      <c r="B3" s="23" t="inlineStr">
        <is>
          <t>United States</t>
        </is>
      </c>
      <c r="C3" s="22" t="inlineStr">
        <is>
          <t>North America</t>
        </is>
      </c>
      <c r="D3" s="31" t="inlineStr">
        <is>
          <t>Yes</t>
        </is>
      </c>
      <c r="E3" s="22" t="n">
        <v>96</v>
      </c>
      <c r="F3" s="22" t="inlineStr">
        <is>
          <t>Yes</t>
        </is>
      </c>
      <c r="G3" s="22" t="inlineStr">
        <is>
          <t>Yes</t>
        </is>
      </c>
      <c r="H3" s="22" t="n">
        <v>94</v>
      </c>
      <c r="I3" s="22" t="n">
        <v>89</v>
      </c>
      <c r="J3" s="22" t="n">
        <v>3</v>
      </c>
      <c r="K3" s="22" t="n">
        <v>7</v>
      </c>
      <c r="L3" s="22" t="inlineStr">
        <is>
          <t>2.1%</t>
        </is>
      </c>
      <c r="M3" s="22" t="inlineStr">
        <is>
          <t>98%</t>
        </is>
      </c>
      <c r="N3" s="31" t="inlineStr">
        <is>
          <t>-12%</t>
        </is>
      </c>
      <c r="O3" s="31" t="inlineStr">
        <is>
          <t>Low</t>
        </is>
      </c>
      <c r="P3" s="22" t="n">
        <v>48</v>
      </c>
    </row>
    <row r="4" ht="22" customHeight="1">
      <c r="A4" s="27" t="inlineStr">
        <is>
          <t>IN</t>
        </is>
      </c>
      <c r="B4" s="28" t="inlineStr">
        <is>
          <t>India (IBC)</t>
        </is>
      </c>
      <c r="C4" s="27" t="inlineStr">
        <is>
          <t>Asia-Pac</t>
        </is>
      </c>
      <c r="D4" s="31" t="inlineStr">
        <is>
          <t>Yes</t>
        </is>
      </c>
      <c r="E4" s="27" t="n">
        <v>89</v>
      </c>
      <c r="F4" s="27" t="inlineStr">
        <is>
          <t>No</t>
        </is>
      </c>
      <c r="G4" s="27" t="inlineStr">
        <is>
          <t>No</t>
        </is>
      </c>
      <c r="H4" s="27" t="n">
        <v>68</v>
      </c>
      <c r="I4" s="27" t="n">
        <v>62</v>
      </c>
      <c r="J4" s="27" t="n">
        <v>9</v>
      </c>
      <c r="K4" s="27" t="n">
        <v>22</v>
      </c>
      <c r="L4" s="27" t="inlineStr">
        <is>
          <t>5.8%</t>
        </is>
      </c>
      <c r="M4" s="27" t="inlineStr">
        <is>
          <t>75%</t>
        </is>
      </c>
      <c r="N4" s="31" t="inlineStr">
        <is>
          <t>-5%</t>
        </is>
      </c>
      <c r="O4" s="32" t="inlineStr">
        <is>
          <t>Medium</t>
        </is>
      </c>
      <c r="P4" s="27" t="n">
        <v>14</v>
      </c>
    </row>
    <row r="5" ht="22" customHeight="1">
      <c r="A5" s="22" t="inlineStr">
        <is>
          <t>MX</t>
        </is>
      </c>
      <c r="B5" s="23" t="inlineStr">
        <is>
          <t>Mexico (Concurso)</t>
        </is>
      </c>
      <c r="C5" s="22" t="inlineStr">
        <is>
          <t>Americas</t>
        </is>
      </c>
      <c r="D5" s="31" t="inlineStr">
        <is>
          <t>Yes</t>
        </is>
      </c>
      <c r="E5" s="22" t="n">
        <v>82</v>
      </c>
      <c r="F5" s="22" t="inlineStr">
        <is>
          <t>No</t>
        </is>
      </c>
      <c r="G5" s="22" t="inlineStr">
        <is>
          <t>No</t>
        </is>
      </c>
      <c r="H5" s="22" t="n">
        <v>62</v>
      </c>
      <c r="I5" s="22" t="n">
        <v>58</v>
      </c>
      <c r="J5" s="22" t="n">
        <v>14</v>
      </c>
      <c r="K5" s="22" t="n">
        <v>36</v>
      </c>
      <c r="L5" s="22" t="inlineStr">
        <is>
          <t>7.2%</t>
        </is>
      </c>
      <c r="M5" s="22" t="inlineStr">
        <is>
          <t>68%</t>
        </is>
      </c>
      <c r="N5" s="24" t="inlineStr">
        <is>
          <t>+2%</t>
        </is>
      </c>
      <c r="O5" s="32" t="inlineStr">
        <is>
          <t>Medium</t>
        </is>
      </c>
      <c r="P5" s="22" t="n">
        <v>9</v>
      </c>
    </row>
    <row r="6" ht="22" customHeight="1">
      <c r="A6" s="27" t="inlineStr">
        <is>
          <t>BR</t>
        </is>
      </c>
      <c r="B6" s="28" t="inlineStr">
        <is>
          <t>Brazil (RJ)</t>
        </is>
      </c>
      <c r="C6" s="27" t="inlineStr">
        <is>
          <t>Americas</t>
        </is>
      </c>
      <c r="D6" s="31" t="inlineStr">
        <is>
          <t>Yes</t>
        </is>
      </c>
      <c r="E6" s="27" t="n">
        <v>72</v>
      </c>
      <c r="F6" s="27" t="inlineStr">
        <is>
          <t>No</t>
        </is>
      </c>
      <c r="G6" s="27" t="inlineStr">
        <is>
          <t>No</t>
        </is>
      </c>
      <c r="H6" s="27" t="n">
        <v>55</v>
      </c>
      <c r="I6" s="27" t="n">
        <v>54</v>
      </c>
      <c r="J6" s="27" t="n">
        <v>18</v>
      </c>
      <c r="K6" s="27" t="n">
        <v>38</v>
      </c>
      <c r="L6" s="27" t="inlineStr">
        <is>
          <t>9.1%</t>
        </is>
      </c>
      <c r="M6" s="27" t="inlineStr">
        <is>
          <t>61%</t>
        </is>
      </c>
      <c r="N6" s="24" t="inlineStr">
        <is>
          <t>+4%</t>
        </is>
      </c>
      <c r="O6" s="24" t="inlineStr">
        <is>
          <t>High</t>
        </is>
      </c>
      <c r="P6" s="27" t="n">
        <v>11</v>
      </c>
    </row>
    <row r="7" ht="22" customHeight="1">
      <c r="A7" s="22" t="inlineStr">
        <is>
          <t>ID</t>
        </is>
      </c>
      <c r="B7" s="23" t="inlineStr">
        <is>
          <t>Indonesia (PKPU)</t>
        </is>
      </c>
      <c r="C7" s="22" t="inlineStr">
        <is>
          <t>Asia-Pac</t>
        </is>
      </c>
      <c r="D7" s="24" t="inlineStr">
        <is>
          <t>No</t>
        </is>
      </c>
      <c r="E7" s="22" t="n">
        <v>55</v>
      </c>
      <c r="F7" s="22" t="inlineStr">
        <is>
          <t>No</t>
        </is>
      </c>
      <c r="G7" s="22" t="inlineStr">
        <is>
          <t>No</t>
        </is>
      </c>
      <c r="H7" s="22" t="n">
        <v>38</v>
      </c>
      <c r="I7" s="22" t="n">
        <v>42</v>
      </c>
      <c r="J7" s="22" t="n">
        <v>22</v>
      </c>
      <c r="K7" s="22" t="n">
        <v>52</v>
      </c>
      <c r="L7" s="22" t="inlineStr">
        <is>
          <t>12.4%</t>
        </is>
      </c>
      <c r="M7" s="22" t="inlineStr">
        <is>
          <t>44%</t>
        </is>
      </c>
      <c r="N7" s="24" t="inlineStr">
        <is>
          <t>+9%</t>
        </is>
      </c>
      <c r="O7" s="24" t="inlineStr">
        <is>
          <t>High</t>
        </is>
      </c>
      <c r="P7" s="22" t="n">
        <v>6</v>
      </c>
    </row>
    <row r="8" ht="22" customHeight="1">
      <c r="A8" s="27" t="inlineStr">
        <is>
          <t>LK</t>
        </is>
      </c>
      <c r="B8" s="28" t="inlineStr">
        <is>
          <t>Sri Lanka</t>
        </is>
      </c>
      <c r="C8" s="27" t="inlineStr">
        <is>
          <t>Asia-Pac</t>
        </is>
      </c>
      <c r="D8" s="31" t="inlineStr">
        <is>
          <t>Yes</t>
        </is>
      </c>
      <c r="E8" s="27" t="n">
        <v>65</v>
      </c>
      <c r="F8" s="27" t="inlineStr">
        <is>
          <t>No</t>
        </is>
      </c>
      <c r="G8" s="27" t="inlineStr">
        <is>
          <t>No</t>
        </is>
      </c>
      <c r="H8" s="27" t="n">
        <v>52</v>
      </c>
      <c r="I8" s="27" t="n">
        <v>55</v>
      </c>
      <c r="J8" s="27" t="n">
        <v>16</v>
      </c>
      <c r="K8" s="27" t="n">
        <v>32</v>
      </c>
      <c r="L8" s="27" t="inlineStr">
        <is>
          <t>8.8%</t>
        </is>
      </c>
      <c r="M8" s="27" t="inlineStr">
        <is>
          <t>58%</t>
        </is>
      </c>
      <c r="N8" s="24" t="inlineStr">
        <is>
          <t>+3%</t>
        </is>
      </c>
      <c r="O8" s="24" t="inlineStr">
        <is>
          <t>High</t>
        </is>
      </c>
      <c r="P8" s="27" t="n">
        <v>4</v>
      </c>
    </row>
    <row r="9" ht="22" customHeight="1">
      <c r="A9" s="22" t="inlineStr">
        <is>
          <t>PH</t>
        </is>
      </c>
      <c r="B9" s="23" t="inlineStr">
        <is>
          <t>Philippines (IDERA)</t>
        </is>
      </c>
      <c r="C9" s="22" t="inlineStr">
        <is>
          <t>Asia-Pac</t>
        </is>
      </c>
      <c r="D9" s="31" t="inlineStr">
        <is>
          <t>Yes</t>
        </is>
      </c>
      <c r="E9" s="22" t="n">
        <v>75</v>
      </c>
      <c r="F9" s="22" t="inlineStr">
        <is>
          <t>No</t>
        </is>
      </c>
      <c r="G9" s="22" t="inlineStr">
        <is>
          <t>Yes</t>
        </is>
      </c>
      <c r="H9" s="22" t="n">
        <v>58</v>
      </c>
      <c r="I9" s="22" t="n">
        <v>52</v>
      </c>
      <c r="J9" s="22" t="n">
        <v>14</v>
      </c>
      <c r="K9" s="22" t="n">
        <v>30</v>
      </c>
      <c r="L9" s="22" t="inlineStr">
        <is>
          <t>7.5%</t>
        </is>
      </c>
      <c r="M9" s="22" t="inlineStr">
        <is>
          <t>65%</t>
        </is>
      </c>
      <c r="N9" s="24" t="inlineStr">
        <is>
          <t>+1%</t>
        </is>
      </c>
      <c r="O9" s="32" t="inlineStr">
        <is>
          <t>Medium</t>
        </is>
      </c>
      <c r="P9" s="22" t="n">
        <v>7</v>
      </c>
    </row>
    <row r="10" ht="22" customHeight="1">
      <c r="A10" s="27" t="inlineStr">
        <is>
          <t>GL</t>
        </is>
      </c>
      <c r="B10" s="28" t="inlineStr">
        <is>
          <t>Generic Liquidation</t>
        </is>
      </c>
      <c r="C10" s="27" t="inlineStr">
        <is>
          <t>Global</t>
        </is>
      </c>
      <c r="D10" s="24" t="inlineStr">
        <is>
          <t>No</t>
        </is>
      </c>
      <c r="E10" s="27" t="n">
        <v>30</v>
      </c>
      <c r="F10" s="27" t="inlineStr">
        <is>
          <t>No</t>
        </is>
      </c>
      <c r="G10" s="27" t="inlineStr">
        <is>
          <t>No</t>
        </is>
      </c>
      <c r="H10" s="27" t="n">
        <v>28</v>
      </c>
      <c r="I10" s="27" t="n">
        <v>30</v>
      </c>
      <c r="J10" s="27" t="n">
        <v>28</v>
      </c>
      <c r="K10" s="27" t="n">
        <v>60</v>
      </c>
      <c r="L10" s="27" t="inlineStr">
        <is>
          <t>18.0%</t>
        </is>
      </c>
      <c r="M10" s="27" t="inlineStr">
        <is>
          <t>32%</t>
        </is>
      </c>
      <c r="N10" s="24" t="inlineStr">
        <is>
          <t>+18%</t>
        </is>
      </c>
      <c r="O10" s="72" t="inlineStr">
        <is>
          <t>Extreme</t>
        </is>
      </c>
      <c r="P10" s="27" t="n">
        <v>2</v>
      </c>
    </row>
    <row r="12" ht="20" customHeight="1">
      <c r="A12" s="10" t="inlineStr">
        <is>
          <t>KEY PRECEDENTS</t>
        </is>
      </c>
    </row>
    <row r="13" ht="26" customHeight="1">
      <c r="A13" s="6" t="inlineStr">
        <is>
          <t>Case</t>
        </is>
      </c>
      <c r="B13" s="6" t="inlineStr">
        <is>
          <t>Year</t>
        </is>
      </c>
      <c r="C13" s="6" t="inlineStr">
        <is>
          <t>Lessor</t>
        </is>
      </c>
      <c r="D13" s="6" t="inlineStr">
        <is>
          <t>Jurisdiction</t>
        </is>
      </c>
      <c r="E13" s="6" t="inlineStr">
        <is>
          <t>Aircraft</t>
        </is>
      </c>
      <c r="F13" s="6" t="inlineStr">
        <is>
          <t>Timeline</t>
        </is>
      </c>
      <c r="G13" s="6" t="inlineStr">
        <is>
          <t>Outcome</t>
        </is>
      </c>
      <c r="H13" s="6" t="inlineStr">
        <is>
          <t>Notes</t>
        </is>
      </c>
    </row>
    <row r="14" ht="28" customHeight="1">
      <c r="A14" s="28" t="inlineStr">
        <is>
          <t>LATAM Airlines Ch.11</t>
        </is>
      </c>
      <c r="B14" s="27" t="n">
        <v>2020</v>
      </c>
      <c r="C14" s="27" t="inlineStr">
        <is>
          <t>AerCap</t>
        </is>
      </c>
      <c r="D14" s="27" t="inlineStr">
        <is>
          <t>US §1110</t>
        </is>
      </c>
      <c r="E14" s="27" t="n">
        <v>12</v>
      </c>
      <c r="F14" s="27" t="inlineStr">
        <is>
          <t>3 months</t>
        </is>
      </c>
      <c r="G14" s="31" t="inlineStr">
        <is>
          <t>All Returned</t>
        </is>
      </c>
      <c r="H14" s="28" t="inlineStr">
        <is>
          <t>Textbook §1110 outcome; all 12 aircraft returned within 90 days under automatic stay carve-out. Kroll served as restructuring agent.</t>
        </is>
      </c>
    </row>
    <row r="15" ht="28" customHeight="1">
      <c r="A15" s="23" t="inlineStr">
        <is>
          <t>Avianca Holdings Ch.11</t>
        </is>
      </c>
      <c r="B15" s="22" t="n">
        <v>2020</v>
      </c>
      <c r="C15" s="22" t="inlineStr">
        <is>
          <t>ALC</t>
        </is>
      </c>
      <c r="D15" s="22" t="inlineStr">
        <is>
          <t>US §1110</t>
        </is>
      </c>
      <c r="E15" s="22" t="n">
        <v>8</v>
      </c>
      <c r="F15" s="22" t="inlineStr">
        <is>
          <t>4 months</t>
        </is>
      </c>
      <c r="G15" s="31" t="inlineStr">
        <is>
          <t>All Returned</t>
        </is>
      </c>
      <c r="H15" s="23" t="inlineStr">
        <is>
          <t>ALC secured 8 aircraft in 4 months; full recovery on emergence Nov 2021. Prime Clerk administered.</t>
        </is>
      </c>
    </row>
    <row r="16" ht="28" customHeight="1">
      <c r="A16" s="28" t="inlineStr">
        <is>
          <t>Aeromexico Ch.11</t>
        </is>
      </c>
      <c r="B16" s="27" t="n">
        <v>2020</v>
      </c>
      <c r="C16" s="27" t="inlineStr">
        <is>
          <t>Multiple</t>
        </is>
      </c>
      <c r="D16" s="27" t="inlineStr">
        <is>
          <t>US §1110</t>
        </is>
      </c>
      <c r="E16" s="27" t="n">
        <v>24</v>
      </c>
      <c r="F16" s="27" t="inlineStr">
        <is>
          <t>5 months</t>
        </is>
      </c>
      <c r="G16" s="31" t="inlineStr">
        <is>
          <t>All Returned</t>
        </is>
      </c>
      <c r="H16" s="28" t="inlineStr">
        <is>
          <t>Preferred US venue over Mexican Concurso Mercantil. Demonstrated US courts as opt-in for LatAm carriers.</t>
        </is>
      </c>
    </row>
    <row r="17" ht="28" customHeight="1">
      <c r="A17" s="23" t="inlineStr">
        <is>
          <t>Garuda Indonesia PKPU</t>
        </is>
      </c>
      <c r="B17" s="22" t="n">
        <v>2021</v>
      </c>
      <c r="C17" s="22" t="inlineStr">
        <is>
          <t>Multiple</t>
        </is>
      </c>
      <c r="D17" s="22" t="inlineStr">
        <is>
          <t>Indonesia PKPU</t>
        </is>
      </c>
      <c r="E17" s="22" t="n">
        <v>28</v>
      </c>
      <c r="F17" s="22" t="inlineStr">
        <is>
          <t>18 months</t>
        </is>
      </c>
      <c r="G17" s="32" t="inlineStr">
        <is>
          <t>Partially Returned</t>
        </is>
      </c>
      <c r="H17" s="23" t="inlineStr">
        <is>
          <t>~40% lessor haircut on lease claims. Government strategic interest complicated recovery. Slow PKPU process.</t>
        </is>
      </c>
    </row>
    <row r="18" ht="28" customHeight="1">
      <c r="A18" s="28" t="inlineStr">
        <is>
          <t>Jet Airways IBC</t>
        </is>
      </c>
      <c r="B18" s="27" t="n">
        <v>2019</v>
      </c>
      <c r="C18" s="27" t="inlineStr">
        <is>
          <t>Multiple</t>
        </is>
      </c>
      <c r="D18" s="27" t="inlineStr">
        <is>
          <t>India IBC</t>
        </is>
      </c>
      <c r="E18" s="27" t="n">
        <v>18</v>
      </c>
      <c r="F18" s="27" t="inlineStr">
        <is>
          <t>22 months</t>
        </is>
      </c>
      <c r="G18" s="31" t="inlineStr">
        <is>
          <t>Returned</t>
        </is>
      </c>
      <c r="H18" s="28" t="inlineStr">
        <is>
          <t>14–24 month recovery timeline. Pre-CTC Act 2025. IBC improved creditor rights but enforcement was slow.</t>
        </is>
      </c>
    </row>
    <row r="19" ht="28" customHeight="1">
      <c r="A19" s="23" t="inlineStr">
        <is>
          <t>SpiceJet 2023 default</t>
        </is>
      </c>
      <c r="B19" s="22" t="n">
        <v>2023</v>
      </c>
      <c r="C19" s="22" t="inlineStr">
        <is>
          <t>SMBC</t>
        </is>
      </c>
      <c r="D19" s="22" t="inlineStr">
        <is>
          <t>India IBC</t>
        </is>
      </c>
      <c r="E19" s="22" t="n">
        <v>6</v>
      </c>
      <c r="F19" s="22" t="inlineStr">
        <is>
          <t>14 months</t>
        </is>
      </c>
      <c r="G19" s="31" t="inlineStr">
        <is>
          <t>Returned</t>
        </is>
      </c>
      <c r="H19" s="23" t="inlineStr">
        <is>
          <t>SpiceJet lease defaults resolved via IBC; SMBC recovered 6 aircraft. CTC Act 2025 expected to improve future timelines.</t>
        </is>
      </c>
    </row>
    <row r="20" ht="28" customHeight="1">
      <c r="A20" s="28" t="inlineStr">
        <is>
          <t>Philippine Airlines Ch.11</t>
        </is>
      </c>
      <c r="B20" s="27" t="n">
        <v>2021</v>
      </c>
      <c r="C20" s="27" t="inlineStr">
        <is>
          <t>JLAM</t>
        </is>
      </c>
      <c r="D20" s="27" t="inlineStr">
        <is>
          <t>US §1110 (SDNY)</t>
        </is>
      </c>
      <c r="E20" s="27" t="n">
        <v>9</v>
      </c>
      <c r="F20" s="27" t="inlineStr">
        <is>
          <t>4 months</t>
        </is>
      </c>
      <c r="G20" s="31" t="inlineStr">
        <is>
          <t>All Returned</t>
        </is>
      </c>
      <c r="H20" s="28" t="inlineStr">
        <is>
          <t>Manila HQ; Ch.11 filed SDNY. US §1110 used to bypass domestic courts. CAAP IDERA cooperation inconsistent.</t>
        </is>
      </c>
    </row>
    <row r="22">
      <c r="A22" s="14" t="inlineStr">
        <is>
          <t>Sources: jurisdictionData.ts (CTC scores, repossession timelines, narrative) | eclCalculator.ts LGD_DELTAS | AWG published case data | Public court filings — LATAM (AerCap 10-K 2020), Avianca (ALC 10-K 2021)</t>
        </is>
      </c>
    </row>
  </sheetData>
  <mergeCells count="2">
    <mergeCell ref="A22:H2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2026-05-23T13:36:31Z</dcterms:created>
  <dcterms:modified xsi:type="dcterms:W3CDTF">2026-05-23T13:36:31Z</dcterms:modified>
</cp:coreProperties>
</file>